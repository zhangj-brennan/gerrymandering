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ennancenterny-my.sharepoint.com/personal/millerp_brennan_law_nyu_edu/Documents/Desktop/"/>
    </mc:Choice>
  </mc:AlternateContent>
  <xr:revisionPtr revIDLastSave="236" documentId="8_{7AF741BF-C75E-4467-8A89-22C9F50987EB}" xr6:coauthVersionLast="47" xr6:coauthVersionMax="47" xr10:uidLastSave="{8D87B0C6-EE0B-4C29-B0EA-693E9A68DE7F}"/>
  <bookViews>
    <workbookView xWindow="-120" yWindow="-120" windowWidth="29040" windowHeight="15720" xr2:uid="{000E211C-034B-4852-B4B2-693020A7B077}"/>
  </bookViews>
  <sheets>
    <sheet name="Tennessee counties" sheetId="1" r:id="rId1"/>
    <sheet name="House districts" sheetId="2" r:id="rId2"/>
    <sheet name="Senate distric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2" i="3" l="1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34" i="3"/>
  <c r="C33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D2" i="3"/>
  <c r="F34" i="3"/>
  <c r="F33" i="3"/>
  <c r="F32" i="3"/>
  <c r="G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G9" i="3"/>
  <c r="F6" i="3"/>
  <c r="F5" i="3"/>
  <c r="F4" i="3"/>
  <c r="F3" i="3"/>
  <c r="F2" i="3"/>
  <c r="D2" i="2"/>
  <c r="G2" i="2"/>
  <c r="G79" i="2" s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2" i="2"/>
  <c r="B34" i="1"/>
  <c r="C34" i="1"/>
  <c r="J2" i="3"/>
  <c r="J20" i="3" s="1"/>
  <c r="M2" i="3"/>
  <c r="M28" i="3" s="1"/>
  <c r="P2" i="3"/>
  <c r="P25" i="3" s="1"/>
  <c r="V2" i="3"/>
  <c r="V22" i="3" s="1"/>
  <c r="S2" i="3"/>
  <c r="S22" i="3" s="1"/>
  <c r="S26" i="3"/>
  <c r="S25" i="3"/>
  <c r="S10" i="3"/>
  <c r="S9" i="3"/>
  <c r="S7" i="3"/>
  <c r="T7" i="3" s="1"/>
  <c r="S6" i="3"/>
  <c r="S5" i="3"/>
  <c r="V2" i="2"/>
  <c r="V73" i="2" s="1"/>
  <c r="S2" i="2"/>
  <c r="S71" i="2" s="1"/>
  <c r="P2" i="2"/>
  <c r="P81" i="2" s="1"/>
  <c r="Q81" i="2" s="1"/>
  <c r="M2" i="2"/>
  <c r="M75" i="2" s="1"/>
  <c r="J2" i="2"/>
  <c r="J63" i="2" s="1"/>
  <c r="D72" i="2"/>
  <c r="U16" i="3"/>
  <c r="R16" i="3"/>
  <c r="O16" i="3"/>
  <c r="L16" i="3"/>
  <c r="I16" i="3"/>
  <c r="U15" i="3"/>
  <c r="R15" i="3"/>
  <c r="O15" i="3"/>
  <c r="L15" i="3"/>
  <c r="I15" i="3"/>
  <c r="U14" i="3"/>
  <c r="R14" i="3"/>
  <c r="O14" i="3"/>
  <c r="L14" i="3"/>
  <c r="I14" i="3"/>
  <c r="U13" i="3"/>
  <c r="R13" i="3"/>
  <c r="O13" i="3"/>
  <c r="L13" i="3"/>
  <c r="I13" i="3"/>
  <c r="U12" i="3"/>
  <c r="R12" i="3"/>
  <c r="O12" i="3"/>
  <c r="L12" i="3"/>
  <c r="I12" i="3"/>
  <c r="U11" i="3"/>
  <c r="R11" i="3"/>
  <c r="O11" i="3"/>
  <c r="L11" i="3"/>
  <c r="I11" i="3"/>
  <c r="U10" i="3"/>
  <c r="R10" i="3"/>
  <c r="T10" i="3" s="1"/>
  <c r="O10" i="3"/>
  <c r="L10" i="3"/>
  <c r="I10" i="3"/>
  <c r="U5" i="3"/>
  <c r="R5" i="3"/>
  <c r="O5" i="3"/>
  <c r="L5" i="3"/>
  <c r="I5" i="3"/>
  <c r="U4" i="3"/>
  <c r="R4" i="3"/>
  <c r="O4" i="3"/>
  <c r="L4" i="3"/>
  <c r="I4" i="3"/>
  <c r="U3" i="3"/>
  <c r="R3" i="3"/>
  <c r="O3" i="3"/>
  <c r="L3" i="3"/>
  <c r="I3" i="3"/>
  <c r="U2" i="3"/>
  <c r="R2" i="3"/>
  <c r="T2" i="3" s="1"/>
  <c r="O2" i="3"/>
  <c r="L2" i="3"/>
  <c r="I2" i="3"/>
  <c r="U8" i="3"/>
  <c r="R8" i="3"/>
  <c r="O8" i="3"/>
  <c r="L8" i="3"/>
  <c r="I8" i="3"/>
  <c r="U7" i="3"/>
  <c r="R7" i="3"/>
  <c r="O7" i="3"/>
  <c r="L7" i="3"/>
  <c r="I7" i="3"/>
  <c r="U27" i="3"/>
  <c r="R27" i="3"/>
  <c r="O27" i="3"/>
  <c r="L27" i="3"/>
  <c r="I27" i="3"/>
  <c r="U26" i="3"/>
  <c r="R26" i="3"/>
  <c r="O26" i="3"/>
  <c r="L26" i="3"/>
  <c r="I26" i="3"/>
  <c r="U25" i="3"/>
  <c r="R25" i="3"/>
  <c r="O25" i="3"/>
  <c r="L25" i="3"/>
  <c r="I25" i="3"/>
  <c r="U24" i="3"/>
  <c r="R24" i="3"/>
  <c r="O24" i="3"/>
  <c r="L24" i="3"/>
  <c r="I24" i="3"/>
  <c r="U23" i="3"/>
  <c r="R23" i="3"/>
  <c r="O23" i="3"/>
  <c r="L23" i="3"/>
  <c r="I23" i="3"/>
  <c r="U22" i="3"/>
  <c r="R22" i="3"/>
  <c r="O22" i="3"/>
  <c r="L22" i="3"/>
  <c r="I22" i="3"/>
  <c r="U21" i="3"/>
  <c r="R21" i="3"/>
  <c r="O21" i="3"/>
  <c r="L21" i="3"/>
  <c r="I21" i="3"/>
  <c r="U20" i="3"/>
  <c r="R20" i="3"/>
  <c r="O20" i="3"/>
  <c r="L20" i="3"/>
  <c r="I20" i="3"/>
  <c r="U19" i="3"/>
  <c r="R19" i="3"/>
  <c r="O19" i="3"/>
  <c r="L19" i="3"/>
  <c r="I19" i="3"/>
  <c r="U32" i="3"/>
  <c r="R32" i="3"/>
  <c r="O32" i="3"/>
  <c r="L32" i="3"/>
  <c r="I32" i="3"/>
  <c r="U31" i="3"/>
  <c r="R31" i="3"/>
  <c r="O31" i="3"/>
  <c r="L31" i="3"/>
  <c r="I31" i="3"/>
  <c r="U30" i="3"/>
  <c r="R30" i="3"/>
  <c r="O30" i="3"/>
  <c r="L30" i="3"/>
  <c r="I30" i="3"/>
  <c r="U29" i="3"/>
  <c r="R29" i="3"/>
  <c r="O29" i="3"/>
  <c r="L29" i="3"/>
  <c r="I29" i="3"/>
  <c r="U6" i="3"/>
  <c r="R6" i="3"/>
  <c r="O6" i="3"/>
  <c r="L6" i="3"/>
  <c r="I6" i="3"/>
  <c r="U9" i="3"/>
  <c r="R9" i="3"/>
  <c r="O9" i="3"/>
  <c r="L9" i="3"/>
  <c r="I9" i="3"/>
  <c r="U18" i="3"/>
  <c r="R18" i="3"/>
  <c r="O18" i="3"/>
  <c r="L18" i="3"/>
  <c r="I18" i="3"/>
  <c r="U17" i="3"/>
  <c r="R17" i="3"/>
  <c r="O17" i="3"/>
  <c r="L17" i="3"/>
  <c r="I17" i="3"/>
  <c r="U28" i="3"/>
  <c r="R28" i="3"/>
  <c r="O28" i="3"/>
  <c r="L28" i="3"/>
  <c r="I28" i="3"/>
  <c r="U34" i="3"/>
  <c r="R34" i="3"/>
  <c r="O34" i="3"/>
  <c r="L34" i="3"/>
  <c r="I34" i="3"/>
  <c r="U33" i="3"/>
  <c r="R33" i="3"/>
  <c r="O33" i="3"/>
  <c r="L33" i="3"/>
  <c r="I33" i="3"/>
  <c r="U82" i="2"/>
  <c r="R82" i="2"/>
  <c r="O82" i="2"/>
  <c r="L82" i="2"/>
  <c r="I82" i="2"/>
  <c r="U81" i="2"/>
  <c r="R81" i="2"/>
  <c r="O81" i="2"/>
  <c r="L81" i="2"/>
  <c r="I81" i="2"/>
  <c r="U80" i="2"/>
  <c r="R80" i="2"/>
  <c r="O80" i="2"/>
  <c r="L80" i="2"/>
  <c r="I80" i="2"/>
  <c r="U79" i="2"/>
  <c r="R79" i="2"/>
  <c r="O79" i="2"/>
  <c r="L79" i="2"/>
  <c r="I79" i="2"/>
  <c r="U78" i="2"/>
  <c r="R78" i="2"/>
  <c r="O78" i="2"/>
  <c r="L78" i="2"/>
  <c r="I78" i="2"/>
  <c r="U77" i="2"/>
  <c r="R77" i="2"/>
  <c r="O77" i="2"/>
  <c r="L77" i="2"/>
  <c r="I77" i="2"/>
  <c r="U76" i="2"/>
  <c r="R76" i="2"/>
  <c r="O76" i="2"/>
  <c r="L76" i="2"/>
  <c r="I76" i="2"/>
  <c r="U75" i="2"/>
  <c r="R75" i="2"/>
  <c r="O75" i="2"/>
  <c r="L75" i="2"/>
  <c r="I75" i="2"/>
  <c r="U74" i="2"/>
  <c r="R74" i="2"/>
  <c r="O74" i="2"/>
  <c r="L74" i="2"/>
  <c r="I74" i="2"/>
  <c r="U73" i="2"/>
  <c r="R73" i="2"/>
  <c r="O73" i="2"/>
  <c r="L73" i="2"/>
  <c r="I73" i="2"/>
  <c r="U72" i="2"/>
  <c r="R72" i="2"/>
  <c r="O72" i="2"/>
  <c r="L72" i="2"/>
  <c r="I72" i="2"/>
  <c r="U71" i="2"/>
  <c r="R71" i="2"/>
  <c r="O71" i="2"/>
  <c r="L71" i="2"/>
  <c r="I71" i="2"/>
  <c r="U70" i="2"/>
  <c r="R70" i="2"/>
  <c r="O70" i="2"/>
  <c r="L70" i="2"/>
  <c r="I70" i="2"/>
  <c r="U69" i="2"/>
  <c r="R69" i="2"/>
  <c r="O69" i="2"/>
  <c r="L69" i="2"/>
  <c r="I69" i="2"/>
  <c r="U68" i="2"/>
  <c r="R68" i="2"/>
  <c r="O68" i="2"/>
  <c r="L68" i="2"/>
  <c r="I68" i="2"/>
  <c r="U67" i="2"/>
  <c r="R67" i="2"/>
  <c r="O67" i="2"/>
  <c r="L67" i="2"/>
  <c r="I67" i="2"/>
  <c r="U66" i="2"/>
  <c r="R66" i="2"/>
  <c r="O66" i="2"/>
  <c r="L66" i="2"/>
  <c r="I66" i="2"/>
  <c r="U65" i="2"/>
  <c r="R65" i="2"/>
  <c r="O65" i="2"/>
  <c r="L65" i="2"/>
  <c r="I65" i="2"/>
  <c r="U64" i="2"/>
  <c r="R64" i="2"/>
  <c r="O64" i="2"/>
  <c r="L64" i="2"/>
  <c r="I64" i="2"/>
  <c r="U63" i="2"/>
  <c r="R63" i="2"/>
  <c r="O63" i="2"/>
  <c r="L63" i="2"/>
  <c r="I63" i="2"/>
  <c r="U62" i="2"/>
  <c r="R62" i="2"/>
  <c r="O62" i="2"/>
  <c r="L62" i="2"/>
  <c r="I62" i="2"/>
  <c r="U61" i="2"/>
  <c r="R61" i="2"/>
  <c r="O61" i="2"/>
  <c r="L61" i="2"/>
  <c r="I61" i="2"/>
  <c r="U60" i="2"/>
  <c r="R60" i="2"/>
  <c r="O60" i="2"/>
  <c r="L60" i="2"/>
  <c r="I60" i="2"/>
  <c r="U59" i="2"/>
  <c r="R59" i="2"/>
  <c r="O59" i="2"/>
  <c r="L59" i="2"/>
  <c r="I59" i="2"/>
  <c r="U58" i="2"/>
  <c r="R58" i="2"/>
  <c r="O58" i="2"/>
  <c r="L58" i="2"/>
  <c r="I58" i="2"/>
  <c r="U57" i="2"/>
  <c r="R57" i="2"/>
  <c r="O57" i="2"/>
  <c r="L57" i="2"/>
  <c r="I57" i="2"/>
  <c r="U56" i="2"/>
  <c r="R56" i="2"/>
  <c r="O56" i="2"/>
  <c r="L56" i="2"/>
  <c r="I56" i="2"/>
  <c r="U55" i="2"/>
  <c r="R55" i="2"/>
  <c r="O55" i="2"/>
  <c r="L55" i="2"/>
  <c r="I55" i="2"/>
  <c r="U54" i="2"/>
  <c r="R54" i="2"/>
  <c r="O54" i="2"/>
  <c r="L54" i="2"/>
  <c r="I54" i="2"/>
  <c r="U53" i="2"/>
  <c r="R53" i="2"/>
  <c r="O53" i="2"/>
  <c r="L53" i="2"/>
  <c r="I53" i="2"/>
  <c r="U52" i="2"/>
  <c r="R52" i="2"/>
  <c r="O52" i="2"/>
  <c r="L52" i="2"/>
  <c r="I52" i="2"/>
  <c r="U51" i="2"/>
  <c r="R51" i="2"/>
  <c r="O51" i="2"/>
  <c r="L51" i="2"/>
  <c r="I51" i="2"/>
  <c r="U50" i="2"/>
  <c r="R50" i="2"/>
  <c r="O50" i="2"/>
  <c r="L50" i="2"/>
  <c r="I50" i="2"/>
  <c r="U49" i="2"/>
  <c r="R49" i="2"/>
  <c r="O49" i="2"/>
  <c r="L49" i="2"/>
  <c r="I49" i="2"/>
  <c r="U48" i="2"/>
  <c r="R48" i="2"/>
  <c r="O48" i="2"/>
  <c r="L48" i="2"/>
  <c r="I48" i="2"/>
  <c r="U47" i="2"/>
  <c r="R47" i="2"/>
  <c r="O47" i="2"/>
  <c r="L47" i="2"/>
  <c r="I47" i="2"/>
  <c r="U46" i="2"/>
  <c r="R46" i="2"/>
  <c r="O46" i="2"/>
  <c r="L46" i="2"/>
  <c r="I46" i="2"/>
  <c r="U45" i="2"/>
  <c r="R45" i="2"/>
  <c r="O45" i="2"/>
  <c r="L45" i="2"/>
  <c r="I45" i="2"/>
  <c r="U44" i="2"/>
  <c r="R44" i="2"/>
  <c r="O44" i="2"/>
  <c r="L44" i="2"/>
  <c r="I44" i="2"/>
  <c r="U43" i="2"/>
  <c r="R43" i="2"/>
  <c r="O43" i="2"/>
  <c r="L43" i="2"/>
  <c r="I43" i="2"/>
  <c r="U42" i="2"/>
  <c r="R42" i="2"/>
  <c r="O42" i="2"/>
  <c r="L42" i="2"/>
  <c r="I42" i="2"/>
  <c r="U41" i="2"/>
  <c r="R41" i="2"/>
  <c r="O41" i="2"/>
  <c r="L41" i="2"/>
  <c r="I41" i="2"/>
  <c r="U40" i="2"/>
  <c r="R40" i="2"/>
  <c r="O40" i="2"/>
  <c r="L40" i="2"/>
  <c r="I40" i="2"/>
  <c r="U39" i="2"/>
  <c r="R39" i="2"/>
  <c r="O39" i="2"/>
  <c r="L39" i="2"/>
  <c r="I39" i="2"/>
  <c r="U38" i="2"/>
  <c r="R38" i="2"/>
  <c r="O38" i="2"/>
  <c r="L38" i="2"/>
  <c r="I38" i="2"/>
  <c r="U37" i="2"/>
  <c r="R37" i="2"/>
  <c r="O37" i="2"/>
  <c r="L37" i="2"/>
  <c r="I37" i="2"/>
  <c r="U36" i="2"/>
  <c r="R36" i="2"/>
  <c r="O36" i="2"/>
  <c r="L36" i="2"/>
  <c r="I36" i="2"/>
  <c r="U35" i="2"/>
  <c r="R35" i="2"/>
  <c r="O35" i="2"/>
  <c r="L35" i="2"/>
  <c r="I35" i="2"/>
  <c r="U34" i="2"/>
  <c r="R34" i="2"/>
  <c r="O34" i="2"/>
  <c r="L34" i="2"/>
  <c r="I34" i="2"/>
  <c r="U33" i="2"/>
  <c r="R33" i="2"/>
  <c r="O33" i="2"/>
  <c r="L33" i="2"/>
  <c r="I33" i="2"/>
  <c r="U32" i="2"/>
  <c r="R32" i="2"/>
  <c r="O32" i="2"/>
  <c r="L32" i="2"/>
  <c r="I32" i="2"/>
  <c r="U31" i="2"/>
  <c r="R31" i="2"/>
  <c r="O31" i="2"/>
  <c r="L31" i="2"/>
  <c r="I31" i="2"/>
  <c r="U30" i="2"/>
  <c r="R30" i="2"/>
  <c r="O30" i="2"/>
  <c r="L30" i="2"/>
  <c r="I30" i="2"/>
  <c r="U29" i="2"/>
  <c r="R29" i="2"/>
  <c r="O29" i="2"/>
  <c r="L29" i="2"/>
  <c r="I29" i="2"/>
  <c r="U28" i="2"/>
  <c r="R28" i="2"/>
  <c r="O28" i="2"/>
  <c r="L28" i="2"/>
  <c r="I28" i="2"/>
  <c r="U27" i="2"/>
  <c r="R27" i="2"/>
  <c r="O27" i="2"/>
  <c r="L27" i="2"/>
  <c r="I27" i="2"/>
  <c r="U26" i="2"/>
  <c r="R26" i="2"/>
  <c r="O26" i="2"/>
  <c r="L26" i="2"/>
  <c r="I26" i="2"/>
  <c r="U25" i="2"/>
  <c r="R25" i="2"/>
  <c r="O25" i="2"/>
  <c r="L25" i="2"/>
  <c r="I25" i="2"/>
  <c r="U24" i="2"/>
  <c r="R24" i="2"/>
  <c r="O24" i="2"/>
  <c r="L24" i="2"/>
  <c r="I24" i="2"/>
  <c r="U23" i="2"/>
  <c r="R23" i="2"/>
  <c r="O23" i="2"/>
  <c r="L23" i="2"/>
  <c r="I23" i="2"/>
  <c r="U22" i="2"/>
  <c r="R22" i="2"/>
  <c r="O22" i="2"/>
  <c r="L22" i="2"/>
  <c r="I22" i="2"/>
  <c r="U21" i="2"/>
  <c r="R21" i="2"/>
  <c r="O21" i="2"/>
  <c r="L21" i="2"/>
  <c r="I21" i="2"/>
  <c r="U20" i="2"/>
  <c r="R20" i="2"/>
  <c r="O20" i="2"/>
  <c r="L20" i="2"/>
  <c r="I20" i="2"/>
  <c r="U19" i="2"/>
  <c r="R19" i="2"/>
  <c r="O19" i="2"/>
  <c r="L19" i="2"/>
  <c r="I19" i="2"/>
  <c r="U18" i="2"/>
  <c r="R18" i="2"/>
  <c r="O18" i="2"/>
  <c r="L18" i="2"/>
  <c r="I18" i="2"/>
  <c r="U17" i="2"/>
  <c r="R17" i="2"/>
  <c r="O17" i="2"/>
  <c r="L17" i="2"/>
  <c r="I17" i="2"/>
  <c r="U16" i="2"/>
  <c r="R16" i="2"/>
  <c r="O16" i="2"/>
  <c r="L16" i="2"/>
  <c r="I16" i="2"/>
  <c r="U15" i="2"/>
  <c r="R15" i="2"/>
  <c r="O15" i="2"/>
  <c r="L15" i="2"/>
  <c r="I15" i="2"/>
  <c r="U14" i="2"/>
  <c r="R14" i="2"/>
  <c r="O14" i="2"/>
  <c r="L14" i="2"/>
  <c r="I14" i="2"/>
  <c r="U13" i="2"/>
  <c r="R13" i="2"/>
  <c r="O13" i="2"/>
  <c r="L13" i="2"/>
  <c r="I13" i="2"/>
  <c r="U12" i="2"/>
  <c r="R12" i="2"/>
  <c r="O12" i="2"/>
  <c r="L12" i="2"/>
  <c r="I12" i="2"/>
  <c r="U11" i="2"/>
  <c r="R11" i="2"/>
  <c r="O11" i="2"/>
  <c r="L11" i="2"/>
  <c r="I11" i="2"/>
  <c r="U10" i="2"/>
  <c r="R10" i="2"/>
  <c r="O10" i="2"/>
  <c r="L10" i="2"/>
  <c r="I10" i="2"/>
  <c r="U9" i="2"/>
  <c r="R9" i="2"/>
  <c r="O9" i="2"/>
  <c r="L9" i="2"/>
  <c r="I9" i="2"/>
  <c r="U8" i="2"/>
  <c r="R8" i="2"/>
  <c r="O8" i="2"/>
  <c r="L8" i="2"/>
  <c r="I8" i="2"/>
  <c r="U7" i="2"/>
  <c r="R7" i="2"/>
  <c r="O7" i="2"/>
  <c r="L7" i="2"/>
  <c r="I7" i="2"/>
  <c r="U6" i="2"/>
  <c r="R6" i="2"/>
  <c r="O6" i="2"/>
  <c r="L6" i="2"/>
  <c r="I6" i="2"/>
  <c r="U5" i="2"/>
  <c r="R5" i="2"/>
  <c r="O5" i="2"/>
  <c r="L5" i="2"/>
  <c r="I5" i="2"/>
  <c r="U4" i="2"/>
  <c r="R4" i="2"/>
  <c r="O4" i="2"/>
  <c r="L4" i="2"/>
  <c r="I4" i="2"/>
  <c r="U3" i="2"/>
  <c r="R3" i="2"/>
  <c r="O3" i="2"/>
  <c r="L3" i="2"/>
  <c r="I3" i="2"/>
  <c r="U2" i="2"/>
  <c r="R2" i="2"/>
  <c r="O2" i="2"/>
  <c r="L2" i="2"/>
  <c r="I2" i="2"/>
  <c r="S24" i="3" l="1"/>
  <c r="T24" i="3" s="1"/>
  <c r="T26" i="3"/>
  <c r="S8" i="3"/>
  <c r="S11" i="3"/>
  <c r="S23" i="3"/>
  <c r="T71" i="2"/>
  <c r="P42" i="2"/>
  <c r="Q42" i="2" s="1"/>
  <c r="P41" i="2"/>
  <c r="Q41" i="2" s="1"/>
  <c r="S45" i="2"/>
  <c r="T45" i="2" s="1"/>
  <c r="S46" i="2"/>
  <c r="T46" i="2" s="1"/>
  <c r="V22" i="2"/>
  <c r="W22" i="2" s="1"/>
  <c r="S44" i="2"/>
  <c r="T44" i="2" s="1"/>
  <c r="V23" i="2"/>
  <c r="W23" i="2" s="1"/>
  <c r="V40" i="2"/>
  <c r="W40" i="2" s="1"/>
  <c r="S32" i="3"/>
  <c r="T32" i="3" s="1"/>
  <c r="V24" i="2"/>
  <c r="W24" i="2" s="1"/>
  <c r="K63" i="2"/>
  <c r="J3" i="3"/>
  <c r="K3" i="3" s="1"/>
  <c r="P24" i="3"/>
  <c r="M12" i="3"/>
  <c r="N12" i="3" s="1"/>
  <c r="M14" i="3"/>
  <c r="J11" i="3"/>
  <c r="J16" i="3"/>
  <c r="K16" i="3" s="1"/>
  <c r="T2" i="2"/>
  <c r="P19" i="2"/>
  <c r="Q19" i="2" s="1"/>
  <c r="S26" i="2"/>
  <c r="T26" i="2" s="1"/>
  <c r="V20" i="2"/>
  <c r="W20" i="2" s="1"/>
  <c r="V75" i="2"/>
  <c r="W75" i="2" s="1"/>
  <c r="M4" i="3"/>
  <c r="N4" i="3" s="1"/>
  <c r="W2" i="2"/>
  <c r="P20" i="2"/>
  <c r="Q20" i="2" s="1"/>
  <c r="S30" i="2"/>
  <c r="T30" i="2" s="1"/>
  <c r="V21" i="2"/>
  <c r="W21" i="2" s="1"/>
  <c r="V78" i="2"/>
  <c r="W78" i="2" s="1"/>
  <c r="M6" i="3"/>
  <c r="M7" i="3"/>
  <c r="N7" i="3" s="1"/>
  <c r="J4" i="3"/>
  <c r="K4" i="3" s="1"/>
  <c r="M27" i="3"/>
  <c r="N27" i="3" s="1"/>
  <c r="M31" i="3"/>
  <c r="N31" i="3" s="1"/>
  <c r="S63" i="2"/>
  <c r="T63" i="2" s="1"/>
  <c r="P43" i="2"/>
  <c r="Q43" i="2" s="1"/>
  <c r="J5" i="3"/>
  <c r="K5" i="3" s="1"/>
  <c r="T9" i="3"/>
  <c r="P63" i="2"/>
  <c r="Q63" i="2" s="1"/>
  <c r="S47" i="2"/>
  <c r="T47" i="2" s="1"/>
  <c r="W73" i="2"/>
  <c r="P68" i="2"/>
  <c r="Q68" i="2" s="1"/>
  <c r="S61" i="2"/>
  <c r="T61" i="2" s="1"/>
  <c r="V47" i="2"/>
  <c r="W47" i="2" s="1"/>
  <c r="J23" i="2"/>
  <c r="K23" i="2" s="1"/>
  <c r="P69" i="2"/>
  <c r="Q69" i="2" s="1"/>
  <c r="S62" i="2"/>
  <c r="T62" i="2" s="1"/>
  <c r="V48" i="2"/>
  <c r="W48" i="2" s="1"/>
  <c r="S7" i="2"/>
  <c r="T7" i="2" s="1"/>
  <c r="V49" i="2"/>
  <c r="W49" i="2" s="1"/>
  <c r="M32" i="3"/>
  <c r="N32" i="3" s="1"/>
  <c r="M15" i="2"/>
  <c r="N15" i="2" s="1"/>
  <c r="S8" i="2"/>
  <c r="T8" i="2" s="1"/>
  <c r="S64" i="2"/>
  <c r="T64" i="2" s="1"/>
  <c r="V50" i="2"/>
  <c r="W50" i="2" s="1"/>
  <c r="J17" i="3"/>
  <c r="K17" i="3" s="1"/>
  <c r="M34" i="3"/>
  <c r="N34" i="3" s="1"/>
  <c r="M43" i="2"/>
  <c r="N43" i="2" s="1"/>
  <c r="S78" i="2"/>
  <c r="T78" i="2" s="1"/>
  <c r="V65" i="2"/>
  <c r="W65" i="2" s="1"/>
  <c r="J24" i="3"/>
  <c r="K24" i="3" s="1"/>
  <c r="K2" i="3"/>
  <c r="M71" i="2"/>
  <c r="N71" i="2" s="1"/>
  <c r="S10" i="2"/>
  <c r="T10" i="2" s="1"/>
  <c r="S79" i="2"/>
  <c r="T79" i="2" s="1"/>
  <c r="V66" i="2"/>
  <c r="W66" i="2" s="1"/>
  <c r="J30" i="3"/>
  <c r="K30" i="3" s="1"/>
  <c r="P26" i="3"/>
  <c r="Q26" i="3" s="1"/>
  <c r="S33" i="3"/>
  <c r="T33" i="3" s="1"/>
  <c r="J10" i="3"/>
  <c r="K10" i="3" s="1"/>
  <c r="T25" i="3"/>
  <c r="N2" i="2"/>
  <c r="P15" i="2"/>
  <c r="Q15" i="2" s="1"/>
  <c r="S24" i="2"/>
  <c r="T24" i="2" s="1"/>
  <c r="S80" i="2"/>
  <c r="T80" i="2" s="1"/>
  <c r="V67" i="2"/>
  <c r="W67" i="2" s="1"/>
  <c r="J33" i="3"/>
  <c r="K33" i="3" s="1"/>
  <c r="S4" i="3"/>
  <c r="T4" i="3" s="1"/>
  <c r="S34" i="3"/>
  <c r="T34" i="3" s="1"/>
  <c r="M13" i="3"/>
  <c r="N13" i="3" s="1"/>
  <c r="J6" i="3"/>
  <c r="K6" i="3" s="1"/>
  <c r="S9" i="2"/>
  <c r="T9" i="2" s="1"/>
  <c r="P16" i="2"/>
  <c r="Q16" i="2" s="1"/>
  <c r="S25" i="2"/>
  <c r="T25" i="2" s="1"/>
  <c r="S81" i="2"/>
  <c r="T81" i="2" s="1"/>
  <c r="V68" i="2"/>
  <c r="W68" i="2" s="1"/>
  <c r="J34" i="3"/>
  <c r="H9" i="3"/>
  <c r="G17" i="2"/>
  <c r="H17" i="2" s="1"/>
  <c r="F84" i="2"/>
  <c r="G18" i="2"/>
  <c r="H18" i="2" s="1"/>
  <c r="G19" i="2"/>
  <c r="H19" i="2" s="1"/>
  <c r="G38" i="2"/>
  <c r="H38" i="2" s="1"/>
  <c r="G39" i="2"/>
  <c r="H39" i="2" s="1"/>
  <c r="G40" i="2"/>
  <c r="H40" i="2" s="1"/>
  <c r="G56" i="2"/>
  <c r="H56" i="2" s="1"/>
  <c r="G57" i="2"/>
  <c r="H57" i="2" s="1"/>
  <c r="J74" i="2"/>
  <c r="J61" i="2"/>
  <c r="K61" i="2" s="1"/>
  <c r="J21" i="2"/>
  <c r="K21" i="2" s="1"/>
  <c r="J75" i="2"/>
  <c r="K75" i="2" s="1"/>
  <c r="J26" i="2"/>
  <c r="J51" i="2"/>
  <c r="K51" i="2" s="1"/>
  <c r="J20" i="2"/>
  <c r="K20" i="2" s="1"/>
  <c r="J64" i="2"/>
  <c r="K64" i="2" s="1"/>
  <c r="J50" i="2"/>
  <c r="K50" i="2" s="1"/>
  <c r="J19" i="2"/>
  <c r="K19" i="2" s="1"/>
  <c r="J49" i="2"/>
  <c r="K49" i="2" s="1"/>
  <c r="J9" i="2"/>
  <c r="K9" i="2" s="1"/>
  <c r="J48" i="2"/>
  <c r="K48" i="2" s="1"/>
  <c r="J8" i="2"/>
  <c r="J79" i="2"/>
  <c r="K79" i="2" s="1"/>
  <c r="J47" i="2"/>
  <c r="K47" i="2" s="1"/>
  <c r="J7" i="2"/>
  <c r="K7" i="2" s="1"/>
  <c r="J78" i="2"/>
  <c r="K78" i="2" s="1"/>
  <c r="J37" i="2"/>
  <c r="K37" i="2" s="1"/>
  <c r="J6" i="2"/>
  <c r="K6" i="2" s="1"/>
  <c r="J77" i="2"/>
  <c r="K77" i="2" s="1"/>
  <c r="J36" i="2"/>
  <c r="K36" i="2" s="1"/>
  <c r="J5" i="2"/>
  <c r="K5" i="2" s="1"/>
  <c r="J76" i="2"/>
  <c r="K76" i="2" s="1"/>
  <c r="J35" i="2"/>
  <c r="K35" i="2" s="1"/>
  <c r="J34" i="2"/>
  <c r="K34" i="2" s="1"/>
  <c r="J65" i="2"/>
  <c r="K65" i="2" s="1"/>
  <c r="J33" i="2"/>
  <c r="K33" i="2" s="1"/>
  <c r="J62" i="2"/>
  <c r="K62" i="2" s="1"/>
  <c r="J22" i="2"/>
  <c r="K2" i="2"/>
  <c r="K8" i="2"/>
  <c r="K26" i="2"/>
  <c r="M11" i="2"/>
  <c r="N11" i="2" s="1"/>
  <c r="M39" i="2"/>
  <c r="N39" i="2" s="1"/>
  <c r="M67" i="2"/>
  <c r="N67" i="2" s="1"/>
  <c r="N75" i="2"/>
  <c r="M76" i="2"/>
  <c r="N76" i="2" s="1"/>
  <c r="P70" i="2"/>
  <c r="Q70" i="2" s="1"/>
  <c r="M77" i="2"/>
  <c r="N77" i="2" s="1"/>
  <c r="P44" i="2"/>
  <c r="Q44" i="2" s="1"/>
  <c r="Q25" i="3"/>
  <c r="M22" i="2"/>
  <c r="N22" i="2" s="1"/>
  <c r="M50" i="2"/>
  <c r="N50" i="2" s="1"/>
  <c r="M78" i="2"/>
  <c r="N78" i="2" s="1"/>
  <c r="P21" i="2"/>
  <c r="Q21" i="2" s="1"/>
  <c r="P47" i="2"/>
  <c r="Q47" i="2" s="1"/>
  <c r="P71" i="2"/>
  <c r="Q71" i="2" s="1"/>
  <c r="S11" i="2"/>
  <c r="T11" i="2" s="1"/>
  <c r="S31" i="2"/>
  <c r="T31" i="2" s="1"/>
  <c r="S48" i="2"/>
  <c r="T48" i="2" s="1"/>
  <c r="S65" i="2"/>
  <c r="T65" i="2" s="1"/>
  <c r="S82" i="2"/>
  <c r="T82" i="2" s="1"/>
  <c r="M23" i="2"/>
  <c r="N23" i="2" s="1"/>
  <c r="M51" i="2"/>
  <c r="N51" i="2" s="1"/>
  <c r="M79" i="2"/>
  <c r="N79" i="2" s="1"/>
  <c r="P26" i="2"/>
  <c r="Q26" i="2" s="1"/>
  <c r="P48" i="2"/>
  <c r="Q48" i="2" s="1"/>
  <c r="P72" i="2"/>
  <c r="Q72" i="2" s="1"/>
  <c r="S12" i="2"/>
  <c r="T12" i="2" s="1"/>
  <c r="S32" i="2"/>
  <c r="T32" i="2" s="1"/>
  <c r="S49" i="2"/>
  <c r="S66" i="2"/>
  <c r="T66" i="2" s="1"/>
  <c r="V5" i="2"/>
  <c r="W5" i="2" s="1"/>
  <c r="V25" i="2"/>
  <c r="W25" i="2" s="1"/>
  <c r="M24" i="2"/>
  <c r="N24" i="2" s="1"/>
  <c r="M52" i="2"/>
  <c r="N52" i="2" s="1"/>
  <c r="M80" i="2"/>
  <c r="N80" i="2" s="1"/>
  <c r="P27" i="2"/>
  <c r="Q27" i="2" s="1"/>
  <c r="P49" i="2"/>
  <c r="Q49" i="2" s="1"/>
  <c r="P75" i="2"/>
  <c r="Q75" i="2" s="1"/>
  <c r="S16" i="2"/>
  <c r="S33" i="2"/>
  <c r="S50" i="2"/>
  <c r="T50" i="2" s="1"/>
  <c r="S67" i="2"/>
  <c r="T67" i="2" s="1"/>
  <c r="V6" i="2"/>
  <c r="W6" i="2" s="1"/>
  <c r="V26" i="2"/>
  <c r="W26" i="2" s="1"/>
  <c r="V52" i="2"/>
  <c r="W52" i="2" s="1"/>
  <c r="V77" i="2"/>
  <c r="W77" i="2" s="1"/>
  <c r="M25" i="2"/>
  <c r="N25" i="2" s="1"/>
  <c r="M53" i="2"/>
  <c r="N53" i="2" s="1"/>
  <c r="M81" i="2"/>
  <c r="N81" i="2" s="1"/>
  <c r="P28" i="2"/>
  <c r="Q28" i="2" s="1"/>
  <c r="P54" i="2"/>
  <c r="Q54" i="2" s="1"/>
  <c r="P76" i="2"/>
  <c r="Q76" i="2" s="1"/>
  <c r="S17" i="2"/>
  <c r="T17" i="2" s="1"/>
  <c r="S34" i="2"/>
  <c r="T34" i="2" s="1"/>
  <c r="S51" i="2"/>
  <c r="T51" i="2" s="1"/>
  <c r="S68" i="2"/>
  <c r="T68" i="2" s="1"/>
  <c r="V7" i="2"/>
  <c r="W7" i="2" s="1"/>
  <c r="V33" i="2"/>
  <c r="W33" i="2" s="1"/>
  <c r="V53" i="2"/>
  <c r="W53" i="2" s="1"/>
  <c r="G59" i="2"/>
  <c r="H59" i="2" s="1"/>
  <c r="M29" i="2"/>
  <c r="N29" i="2" s="1"/>
  <c r="M57" i="2"/>
  <c r="N57" i="2" s="1"/>
  <c r="P5" i="2"/>
  <c r="Q5" i="2" s="1"/>
  <c r="P29" i="2"/>
  <c r="Q29" i="2" s="1"/>
  <c r="P55" i="2"/>
  <c r="Q55" i="2" s="1"/>
  <c r="P77" i="2"/>
  <c r="Q77" i="2" s="1"/>
  <c r="S18" i="2"/>
  <c r="T18" i="2" s="1"/>
  <c r="S35" i="2"/>
  <c r="T35" i="2" s="1"/>
  <c r="S52" i="2"/>
  <c r="T52" i="2" s="1"/>
  <c r="S72" i="2"/>
  <c r="T72" i="2" s="1"/>
  <c r="V8" i="2"/>
  <c r="W8" i="2" s="1"/>
  <c r="V34" i="2"/>
  <c r="W34" i="2" s="1"/>
  <c r="V54" i="2"/>
  <c r="W54" i="2" s="1"/>
  <c r="V79" i="2"/>
  <c r="W79" i="2" s="1"/>
  <c r="J21" i="3"/>
  <c r="K21" i="3" s="1"/>
  <c r="S12" i="3"/>
  <c r="T12" i="3" s="1"/>
  <c r="M20" i="2"/>
  <c r="N20" i="2" s="1"/>
  <c r="M21" i="2"/>
  <c r="N21" i="2" s="1"/>
  <c r="V51" i="2"/>
  <c r="W51" i="2" s="1"/>
  <c r="G75" i="2"/>
  <c r="H75" i="2" s="1"/>
  <c r="M6" i="2"/>
  <c r="N6" i="2" s="1"/>
  <c r="M34" i="2"/>
  <c r="N34" i="2" s="1"/>
  <c r="M62" i="2"/>
  <c r="N62" i="2" s="1"/>
  <c r="P6" i="2"/>
  <c r="Q6" i="2" s="1"/>
  <c r="P30" i="2"/>
  <c r="Q30" i="2" s="1"/>
  <c r="P56" i="2"/>
  <c r="Q56" i="2" s="1"/>
  <c r="P82" i="2"/>
  <c r="Q82" i="2" s="1"/>
  <c r="S19" i="2"/>
  <c r="T19" i="2" s="1"/>
  <c r="S36" i="2"/>
  <c r="T36" i="2" s="1"/>
  <c r="S53" i="2"/>
  <c r="T53" i="2" s="1"/>
  <c r="S73" i="2"/>
  <c r="T73" i="2" s="1"/>
  <c r="V9" i="2"/>
  <c r="V35" i="2"/>
  <c r="W35" i="2" s="1"/>
  <c r="V55" i="2"/>
  <c r="W55" i="2" s="1"/>
  <c r="V80" i="2"/>
  <c r="W80" i="2" s="1"/>
  <c r="S18" i="3"/>
  <c r="T18" i="3" s="1"/>
  <c r="N14" i="3"/>
  <c r="G78" i="2"/>
  <c r="H78" i="2" s="1"/>
  <c r="M7" i="2"/>
  <c r="N7" i="2" s="1"/>
  <c r="M35" i="2"/>
  <c r="N35" i="2" s="1"/>
  <c r="M63" i="2"/>
  <c r="N63" i="2" s="1"/>
  <c r="P7" i="2"/>
  <c r="Q7" i="2" s="1"/>
  <c r="P33" i="2"/>
  <c r="Q33" i="2" s="1"/>
  <c r="P57" i="2"/>
  <c r="Q57" i="2" s="1"/>
  <c r="S3" i="2"/>
  <c r="T3" i="2" s="1"/>
  <c r="S20" i="2"/>
  <c r="T20" i="2" s="1"/>
  <c r="S37" i="2"/>
  <c r="T37" i="2" s="1"/>
  <c r="S54" i="2"/>
  <c r="T54" i="2" s="1"/>
  <c r="S74" i="2"/>
  <c r="T74" i="2" s="1"/>
  <c r="V10" i="2"/>
  <c r="W10" i="2" s="1"/>
  <c r="V36" i="2"/>
  <c r="W36" i="2" s="1"/>
  <c r="V61" i="2"/>
  <c r="W61" i="2" s="1"/>
  <c r="V81" i="2"/>
  <c r="W81" i="2" s="1"/>
  <c r="J25" i="3"/>
  <c r="K25" i="3" s="1"/>
  <c r="S19" i="3"/>
  <c r="T19" i="3" s="1"/>
  <c r="N28" i="3"/>
  <c r="V76" i="2"/>
  <c r="W76" i="2" s="1"/>
  <c r="W9" i="2"/>
  <c r="G80" i="2"/>
  <c r="H80" i="2" s="1"/>
  <c r="M8" i="2"/>
  <c r="N8" i="2" s="1"/>
  <c r="M36" i="2"/>
  <c r="N36" i="2" s="1"/>
  <c r="M64" i="2"/>
  <c r="N64" i="2" s="1"/>
  <c r="P12" i="2"/>
  <c r="Q12" i="2" s="1"/>
  <c r="P34" i="2"/>
  <c r="Q34" i="2" s="1"/>
  <c r="P58" i="2"/>
  <c r="Q58" i="2" s="1"/>
  <c r="S4" i="2"/>
  <c r="T4" i="2" s="1"/>
  <c r="S21" i="2"/>
  <c r="T21" i="2" s="1"/>
  <c r="S38" i="2"/>
  <c r="T38" i="2" s="1"/>
  <c r="S58" i="2"/>
  <c r="T58" i="2" s="1"/>
  <c r="S75" i="2"/>
  <c r="T75" i="2" s="1"/>
  <c r="V11" i="2"/>
  <c r="W11" i="2" s="1"/>
  <c r="V37" i="2"/>
  <c r="W37" i="2" s="1"/>
  <c r="V62" i="2"/>
  <c r="W62" i="2" s="1"/>
  <c r="V82" i="2"/>
  <c r="W82" i="2" s="1"/>
  <c r="Q24" i="3"/>
  <c r="S20" i="3"/>
  <c r="T20" i="3" s="1"/>
  <c r="M9" i="2"/>
  <c r="N9" i="2" s="1"/>
  <c r="M37" i="2"/>
  <c r="N37" i="2" s="1"/>
  <c r="M65" i="2"/>
  <c r="N65" i="2" s="1"/>
  <c r="P13" i="2"/>
  <c r="Q13" i="2" s="1"/>
  <c r="P35" i="2"/>
  <c r="Q35" i="2" s="1"/>
  <c r="P61" i="2"/>
  <c r="Q61" i="2" s="1"/>
  <c r="S5" i="2"/>
  <c r="T5" i="2" s="1"/>
  <c r="S22" i="2"/>
  <c r="T22" i="2" s="1"/>
  <c r="S39" i="2"/>
  <c r="T39" i="2" s="1"/>
  <c r="S59" i="2"/>
  <c r="T59" i="2" s="1"/>
  <c r="S76" i="2"/>
  <c r="T76" i="2" s="1"/>
  <c r="V12" i="2"/>
  <c r="W12" i="2" s="1"/>
  <c r="V38" i="2"/>
  <c r="W38" i="2" s="1"/>
  <c r="V63" i="2"/>
  <c r="W63" i="2" s="1"/>
  <c r="P21" i="3"/>
  <c r="Q21" i="3" s="1"/>
  <c r="J31" i="3"/>
  <c r="K31" i="3" s="1"/>
  <c r="S21" i="3"/>
  <c r="T21" i="3" s="1"/>
  <c r="M48" i="2"/>
  <c r="N48" i="2" s="1"/>
  <c r="M49" i="2"/>
  <c r="N49" i="2" s="1"/>
  <c r="K22" i="2"/>
  <c r="M10" i="2"/>
  <c r="N10" i="2" s="1"/>
  <c r="M38" i="2"/>
  <c r="N38" i="2" s="1"/>
  <c r="M66" i="2"/>
  <c r="N66" i="2" s="1"/>
  <c r="P14" i="2"/>
  <c r="Q14" i="2" s="1"/>
  <c r="P40" i="2"/>
  <c r="Q40" i="2" s="1"/>
  <c r="P62" i="2"/>
  <c r="Q62" i="2" s="1"/>
  <c r="S6" i="2"/>
  <c r="T6" i="2" s="1"/>
  <c r="S23" i="2"/>
  <c r="T23" i="2" s="1"/>
  <c r="S40" i="2"/>
  <c r="T40" i="2" s="1"/>
  <c r="S60" i="2"/>
  <c r="T60" i="2" s="1"/>
  <c r="S77" i="2"/>
  <c r="T77" i="2" s="1"/>
  <c r="V19" i="2"/>
  <c r="W19" i="2" s="1"/>
  <c r="V39" i="2"/>
  <c r="W39" i="2" s="1"/>
  <c r="V64" i="2"/>
  <c r="W64" i="2" s="1"/>
  <c r="S31" i="3"/>
  <c r="T31" i="3" s="1"/>
  <c r="G41" i="2"/>
  <c r="H41" i="2" s="1"/>
  <c r="G81" i="2"/>
  <c r="H81" i="2" s="1"/>
  <c r="G3" i="2"/>
  <c r="H3" i="2" s="1"/>
  <c r="G61" i="2"/>
  <c r="H61" i="2" s="1"/>
  <c r="G43" i="2"/>
  <c r="H43" i="2" s="1"/>
  <c r="G46" i="2"/>
  <c r="H46" i="2" s="1"/>
  <c r="G42" i="2"/>
  <c r="H42" i="2" s="1"/>
  <c r="G82" i="2"/>
  <c r="H82" i="2" s="1"/>
  <c r="H2" i="2"/>
  <c r="G27" i="2"/>
  <c r="H27" i="2" s="1"/>
  <c r="G67" i="2"/>
  <c r="H67" i="2" s="1"/>
  <c r="G10" i="2"/>
  <c r="H10" i="2" s="1"/>
  <c r="G28" i="2"/>
  <c r="H28" i="2" s="1"/>
  <c r="G47" i="2"/>
  <c r="H47" i="2" s="1"/>
  <c r="G68" i="2"/>
  <c r="H68" i="2" s="1"/>
  <c r="G11" i="2"/>
  <c r="H11" i="2" s="1"/>
  <c r="G29" i="2"/>
  <c r="H29" i="2" s="1"/>
  <c r="G50" i="2"/>
  <c r="H50" i="2" s="1"/>
  <c r="G69" i="2"/>
  <c r="H69" i="2" s="1"/>
  <c r="G12" i="2"/>
  <c r="H12" i="2" s="1"/>
  <c r="G31" i="2"/>
  <c r="H31" i="2" s="1"/>
  <c r="G52" i="2"/>
  <c r="H52" i="2" s="1"/>
  <c r="G70" i="2"/>
  <c r="H70" i="2" s="1"/>
  <c r="G22" i="2"/>
  <c r="H22" i="2" s="1"/>
  <c r="G60" i="2"/>
  <c r="H60" i="2" s="1"/>
  <c r="G24" i="2"/>
  <c r="H24" i="2" s="1"/>
  <c r="G4" i="2"/>
  <c r="H4" i="2" s="1"/>
  <c r="G25" i="2"/>
  <c r="H25" i="2" s="1"/>
  <c r="G64" i="2"/>
  <c r="H64" i="2" s="1"/>
  <c r="G5" i="2"/>
  <c r="H5" i="2" s="1"/>
  <c r="G26" i="2"/>
  <c r="H26" i="2" s="1"/>
  <c r="G45" i="2"/>
  <c r="H45" i="2" s="1"/>
  <c r="G66" i="2"/>
  <c r="H66" i="2" s="1"/>
  <c r="G8" i="2"/>
  <c r="H8" i="2" s="1"/>
  <c r="G13" i="2"/>
  <c r="H13" i="2" s="1"/>
  <c r="G32" i="2"/>
  <c r="H32" i="2" s="1"/>
  <c r="G53" i="2"/>
  <c r="H53" i="2" s="1"/>
  <c r="G71" i="2"/>
  <c r="H71" i="2" s="1"/>
  <c r="G14" i="2"/>
  <c r="H14" i="2" s="1"/>
  <c r="G33" i="2"/>
  <c r="H33" i="2" s="1"/>
  <c r="G54" i="2"/>
  <c r="H54" i="2" s="1"/>
  <c r="G73" i="2"/>
  <c r="H73" i="2" s="1"/>
  <c r="H79" i="2"/>
  <c r="G15" i="2"/>
  <c r="H15" i="2" s="1"/>
  <c r="G36" i="2"/>
  <c r="H36" i="2" s="1"/>
  <c r="G55" i="2"/>
  <c r="H55" i="2" s="1"/>
  <c r="G74" i="2"/>
  <c r="H74" i="2" s="1"/>
  <c r="G14" i="3"/>
  <c r="H14" i="3" s="1"/>
  <c r="G20" i="3"/>
  <c r="H20" i="3" s="1"/>
  <c r="G16" i="2"/>
  <c r="H16" i="2" s="1"/>
  <c r="G30" i="2"/>
  <c r="H30" i="2" s="1"/>
  <c r="G44" i="2"/>
  <c r="H44" i="2" s="1"/>
  <c r="G58" i="2"/>
  <c r="G72" i="2"/>
  <c r="H72" i="2" s="1"/>
  <c r="G21" i="3"/>
  <c r="H21" i="3" s="1"/>
  <c r="H2" i="3"/>
  <c r="G22" i="3"/>
  <c r="H22" i="3" s="1"/>
  <c r="G23" i="3"/>
  <c r="H23" i="3" s="1"/>
  <c r="G24" i="3"/>
  <c r="H24" i="3" s="1"/>
  <c r="G6" i="2"/>
  <c r="H6" i="2" s="1"/>
  <c r="G20" i="2"/>
  <c r="H20" i="2" s="1"/>
  <c r="G34" i="2"/>
  <c r="H34" i="2" s="1"/>
  <c r="G48" i="2"/>
  <c r="H48" i="2" s="1"/>
  <c r="G62" i="2"/>
  <c r="H62" i="2" s="1"/>
  <c r="G76" i="2"/>
  <c r="H76" i="2" s="1"/>
  <c r="G28" i="3"/>
  <c r="H28" i="3" s="1"/>
  <c r="G10" i="3"/>
  <c r="H10" i="3" s="1"/>
  <c r="G7" i="2"/>
  <c r="H7" i="2" s="1"/>
  <c r="G21" i="2"/>
  <c r="H21" i="2" s="1"/>
  <c r="G35" i="2"/>
  <c r="H35" i="2" s="1"/>
  <c r="G49" i="2"/>
  <c r="H49" i="2" s="1"/>
  <c r="G63" i="2"/>
  <c r="H63" i="2" s="1"/>
  <c r="G77" i="2"/>
  <c r="H77" i="2" s="1"/>
  <c r="G34" i="3"/>
  <c r="H34" i="3" s="1"/>
  <c r="G33" i="3"/>
  <c r="H33" i="3" s="1"/>
  <c r="G9" i="2"/>
  <c r="H9" i="2" s="1"/>
  <c r="G23" i="2"/>
  <c r="H23" i="2" s="1"/>
  <c r="G37" i="2"/>
  <c r="H37" i="2" s="1"/>
  <c r="G51" i="2"/>
  <c r="H51" i="2" s="1"/>
  <c r="G65" i="2"/>
  <c r="H65" i="2" s="1"/>
  <c r="K74" i="2"/>
  <c r="K11" i="3"/>
  <c r="J10" i="2"/>
  <c r="K10" i="2" s="1"/>
  <c r="J24" i="2"/>
  <c r="K24" i="2" s="1"/>
  <c r="J38" i="2"/>
  <c r="K38" i="2" s="1"/>
  <c r="J52" i="2"/>
  <c r="K52" i="2" s="1"/>
  <c r="J66" i="2"/>
  <c r="K66" i="2" s="1"/>
  <c r="J80" i="2"/>
  <c r="K80" i="2" s="1"/>
  <c r="J11" i="2"/>
  <c r="K11" i="2" s="1"/>
  <c r="J25" i="2"/>
  <c r="K25" i="2" s="1"/>
  <c r="J39" i="2"/>
  <c r="K39" i="2" s="1"/>
  <c r="J53" i="2"/>
  <c r="K53" i="2" s="1"/>
  <c r="J67" i="2"/>
  <c r="K67" i="2" s="1"/>
  <c r="J81" i="2"/>
  <c r="K81" i="2" s="1"/>
  <c r="J12" i="2"/>
  <c r="K12" i="2" s="1"/>
  <c r="J40" i="2"/>
  <c r="K40" i="2" s="1"/>
  <c r="J54" i="2"/>
  <c r="K54" i="2" s="1"/>
  <c r="J68" i="2"/>
  <c r="K68" i="2" s="1"/>
  <c r="J82" i="2"/>
  <c r="K82" i="2" s="1"/>
  <c r="J13" i="2"/>
  <c r="K13" i="2" s="1"/>
  <c r="J27" i="2"/>
  <c r="K27" i="2" s="1"/>
  <c r="J41" i="2"/>
  <c r="K41" i="2" s="1"/>
  <c r="J55" i="2"/>
  <c r="K55" i="2" s="1"/>
  <c r="J69" i="2"/>
  <c r="K69" i="2" s="1"/>
  <c r="J14" i="2"/>
  <c r="K14" i="2" s="1"/>
  <c r="J28" i="2"/>
  <c r="K28" i="2" s="1"/>
  <c r="J42" i="2"/>
  <c r="K42" i="2" s="1"/>
  <c r="J56" i="2"/>
  <c r="K56" i="2" s="1"/>
  <c r="J70" i="2"/>
  <c r="K70" i="2" s="1"/>
  <c r="J32" i="3"/>
  <c r="K32" i="3" s="1"/>
  <c r="J15" i="2"/>
  <c r="K15" i="2" s="1"/>
  <c r="J29" i="2"/>
  <c r="K29" i="2" s="1"/>
  <c r="J43" i="2"/>
  <c r="K43" i="2" s="1"/>
  <c r="J57" i="2"/>
  <c r="K57" i="2" s="1"/>
  <c r="J71" i="2"/>
  <c r="K71" i="2" s="1"/>
  <c r="J16" i="2"/>
  <c r="K16" i="2" s="1"/>
  <c r="J30" i="2"/>
  <c r="K30" i="2" s="1"/>
  <c r="J44" i="2"/>
  <c r="K44" i="2" s="1"/>
  <c r="J58" i="2"/>
  <c r="K58" i="2" s="1"/>
  <c r="J72" i="2"/>
  <c r="K72" i="2" s="1"/>
  <c r="K34" i="3"/>
  <c r="J3" i="2"/>
  <c r="K3" i="2" s="1"/>
  <c r="J17" i="2"/>
  <c r="K17" i="2" s="1"/>
  <c r="J31" i="2"/>
  <c r="K31" i="2" s="1"/>
  <c r="J45" i="2"/>
  <c r="K45" i="2" s="1"/>
  <c r="J59" i="2"/>
  <c r="K59" i="2" s="1"/>
  <c r="J73" i="2"/>
  <c r="K73" i="2" s="1"/>
  <c r="J4" i="2"/>
  <c r="K4" i="2" s="1"/>
  <c r="J18" i="2"/>
  <c r="K18" i="2" s="1"/>
  <c r="J32" i="2"/>
  <c r="K32" i="2" s="1"/>
  <c r="J46" i="2"/>
  <c r="K46" i="2" s="1"/>
  <c r="J60" i="2"/>
  <c r="K60" i="2" s="1"/>
  <c r="J7" i="3"/>
  <c r="K7" i="3" s="1"/>
  <c r="M13" i="2"/>
  <c r="N13" i="2" s="1"/>
  <c r="M27" i="2"/>
  <c r="N27" i="2" s="1"/>
  <c r="M41" i="2"/>
  <c r="N41" i="2" s="1"/>
  <c r="M55" i="2"/>
  <c r="N55" i="2" s="1"/>
  <c r="M69" i="2"/>
  <c r="N69" i="2" s="1"/>
  <c r="M16" i="3"/>
  <c r="N16" i="3" s="1"/>
  <c r="M12" i="2"/>
  <c r="N12" i="2" s="1"/>
  <c r="M26" i="2"/>
  <c r="N26" i="2" s="1"/>
  <c r="M40" i="2"/>
  <c r="N40" i="2" s="1"/>
  <c r="M54" i="2"/>
  <c r="N54" i="2" s="1"/>
  <c r="M68" i="2"/>
  <c r="N68" i="2" s="1"/>
  <c r="M82" i="2"/>
  <c r="N82" i="2" s="1"/>
  <c r="M15" i="3"/>
  <c r="N15" i="3" s="1"/>
  <c r="M14" i="2"/>
  <c r="N14" i="2" s="1"/>
  <c r="M28" i="2"/>
  <c r="N28" i="2" s="1"/>
  <c r="M42" i="2"/>
  <c r="N42" i="2" s="1"/>
  <c r="M56" i="2"/>
  <c r="N56" i="2" s="1"/>
  <c r="M70" i="2"/>
  <c r="N70" i="2" s="1"/>
  <c r="M17" i="3"/>
  <c r="N17" i="3" s="1"/>
  <c r="M18" i="3"/>
  <c r="N18" i="3" s="1"/>
  <c r="M16" i="2"/>
  <c r="N16" i="2" s="1"/>
  <c r="M30" i="2"/>
  <c r="N30" i="2" s="1"/>
  <c r="M44" i="2"/>
  <c r="N44" i="2" s="1"/>
  <c r="M58" i="2"/>
  <c r="N58" i="2" s="1"/>
  <c r="M72" i="2"/>
  <c r="N72" i="2" s="1"/>
  <c r="M20" i="3"/>
  <c r="N20" i="3" s="1"/>
  <c r="M3" i="2"/>
  <c r="N3" i="2" s="1"/>
  <c r="M17" i="2"/>
  <c r="N17" i="2" s="1"/>
  <c r="M31" i="2"/>
  <c r="N31" i="2" s="1"/>
  <c r="M45" i="2"/>
  <c r="N45" i="2" s="1"/>
  <c r="M59" i="2"/>
  <c r="N59" i="2" s="1"/>
  <c r="M73" i="2"/>
  <c r="N73" i="2" s="1"/>
  <c r="M4" i="2"/>
  <c r="N4" i="2" s="1"/>
  <c r="M18" i="2"/>
  <c r="N18" i="2" s="1"/>
  <c r="M32" i="2"/>
  <c r="N32" i="2" s="1"/>
  <c r="M46" i="2"/>
  <c r="N46" i="2" s="1"/>
  <c r="M60" i="2"/>
  <c r="N60" i="2" s="1"/>
  <c r="M74" i="2"/>
  <c r="N74" i="2" s="1"/>
  <c r="M25" i="3"/>
  <c r="N25" i="3" s="1"/>
  <c r="N2" i="3"/>
  <c r="M5" i="2"/>
  <c r="N5" i="2" s="1"/>
  <c r="M19" i="2"/>
  <c r="N19" i="2" s="1"/>
  <c r="M33" i="2"/>
  <c r="N33" i="2" s="1"/>
  <c r="M47" i="2"/>
  <c r="N47" i="2" s="1"/>
  <c r="M61" i="2"/>
  <c r="N61" i="2" s="1"/>
  <c r="M3" i="3"/>
  <c r="N3" i="3" s="1"/>
  <c r="M29" i="3"/>
  <c r="N29" i="3" s="1"/>
  <c r="M30" i="3"/>
  <c r="N30" i="3" s="1"/>
  <c r="G6" i="3"/>
  <c r="H6" i="3" s="1"/>
  <c r="G7" i="3"/>
  <c r="H7" i="3" s="1"/>
  <c r="G8" i="3"/>
  <c r="H8" i="3" s="1"/>
  <c r="K20" i="3"/>
  <c r="J18" i="3"/>
  <c r="K18" i="3" s="1"/>
  <c r="J19" i="3"/>
  <c r="K19" i="3" s="1"/>
  <c r="J29" i="3"/>
  <c r="K29" i="3" s="1"/>
  <c r="N6" i="3"/>
  <c r="M21" i="3"/>
  <c r="N21" i="3" s="1"/>
  <c r="M26" i="3"/>
  <c r="N26" i="3" s="1"/>
  <c r="P3" i="2"/>
  <c r="Q3" i="2" s="1"/>
  <c r="P17" i="2"/>
  <c r="Q17" i="2" s="1"/>
  <c r="P31" i="2"/>
  <c r="Q31" i="2" s="1"/>
  <c r="P45" i="2"/>
  <c r="Q45" i="2" s="1"/>
  <c r="P59" i="2"/>
  <c r="Q59" i="2" s="1"/>
  <c r="P73" i="2"/>
  <c r="Q73" i="2" s="1"/>
  <c r="P4" i="2"/>
  <c r="Q4" i="2" s="1"/>
  <c r="P18" i="2"/>
  <c r="Q18" i="2" s="1"/>
  <c r="P32" i="2"/>
  <c r="Q32" i="2" s="1"/>
  <c r="P46" i="2"/>
  <c r="Q46" i="2" s="1"/>
  <c r="P60" i="2"/>
  <c r="Q60" i="2" s="1"/>
  <c r="P74" i="2"/>
  <c r="Q74" i="2" s="1"/>
  <c r="P8" i="3"/>
  <c r="Q8" i="3" s="1"/>
  <c r="P9" i="3"/>
  <c r="Q9" i="3" s="1"/>
  <c r="P10" i="3"/>
  <c r="Q10" i="3" s="1"/>
  <c r="P8" i="2"/>
  <c r="Q8" i="2" s="1"/>
  <c r="P22" i="2"/>
  <c r="Q22" i="2" s="1"/>
  <c r="P36" i="2"/>
  <c r="Q36" i="2" s="1"/>
  <c r="P50" i="2"/>
  <c r="Q50" i="2" s="1"/>
  <c r="P64" i="2"/>
  <c r="Q64" i="2" s="1"/>
  <c r="P78" i="2"/>
  <c r="Q78" i="2" s="1"/>
  <c r="P11" i="3"/>
  <c r="Q11" i="3" s="1"/>
  <c r="Q2" i="3"/>
  <c r="P9" i="2"/>
  <c r="Q9" i="2" s="1"/>
  <c r="P23" i="2"/>
  <c r="Q23" i="2" s="1"/>
  <c r="P37" i="2"/>
  <c r="Q37" i="2" s="1"/>
  <c r="P51" i="2"/>
  <c r="Q51" i="2" s="1"/>
  <c r="P65" i="2"/>
  <c r="Q65" i="2" s="1"/>
  <c r="P79" i="2"/>
  <c r="Q79" i="2" s="1"/>
  <c r="P12" i="3"/>
  <c r="Q12" i="3" s="1"/>
  <c r="P10" i="2"/>
  <c r="Q10" i="2" s="1"/>
  <c r="P24" i="2"/>
  <c r="Q24" i="2" s="1"/>
  <c r="P38" i="2"/>
  <c r="Q38" i="2" s="1"/>
  <c r="P52" i="2"/>
  <c r="Q52" i="2" s="1"/>
  <c r="P66" i="2"/>
  <c r="Q66" i="2" s="1"/>
  <c r="P80" i="2"/>
  <c r="Q80" i="2" s="1"/>
  <c r="P22" i="3"/>
  <c r="Q22" i="3" s="1"/>
  <c r="P11" i="2"/>
  <c r="Q11" i="2" s="1"/>
  <c r="P25" i="2"/>
  <c r="Q25" i="2" s="1"/>
  <c r="P39" i="2"/>
  <c r="Q39" i="2" s="1"/>
  <c r="P53" i="2"/>
  <c r="Q53" i="2" s="1"/>
  <c r="P67" i="2"/>
  <c r="Q67" i="2" s="1"/>
  <c r="P23" i="3"/>
  <c r="Q23" i="3" s="1"/>
  <c r="W2" i="3"/>
  <c r="T8" i="3"/>
  <c r="G11" i="3"/>
  <c r="H11" i="3" s="1"/>
  <c r="G25" i="3"/>
  <c r="H25" i="3" s="1"/>
  <c r="P13" i="3"/>
  <c r="Q13" i="3" s="1"/>
  <c r="P27" i="3"/>
  <c r="Q27" i="3" s="1"/>
  <c r="G12" i="3"/>
  <c r="H12" i="3" s="1"/>
  <c r="G26" i="3"/>
  <c r="H26" i="3" s="1"/>
  <c r="J8" i="3"/>
  <c r="K8" i="3" s="1"/>
  <c r="J22" i="3"/>
  <c r="K22" i="3" s="1"/>
  <c r="P14" i="3"/>
  <c r="Q14" i="3" s="1"/>
  <c r="P28" i="3"/>
  <c r="Q28" i="3" s="1"/>
  <c r="T11" i="3"/>
  <c r="G13" i="3"/>
  <c r="H13" i="3" s="1"/>
  <c r="G27" i="3"/>
  <c r="H27" i="3" s="1"/>
  <c r="J9" i="3"/>
  <c r="K9" i="3" s="1"/>
  <c r="J23" i="3"/>
  <c r="K23" i="3" s="1"/>
  <c r="M5" i="3"/>
  <c r="N5" i="3" s="1"/>
  <c r="M19" i="3"/>
  <c r="N19" i="3" s="1"/>
  <c r="M33" i="3"/>
  <c r="N33" i="3" s="1"/>
  <c r="P15" i="3"/>
  <c r="Q15" i="3" s="1"/>
  <c r="P29" i="3"/>
  <c r="Q29" i="3" s="1"/>
  <c r="P16" i="3"/>
  <c r="Q16" i="3" s="1"/>
  <c r="G29" i="3"/>
  <c r="H29" i="3" s="1"/>
  <c r="T6" i="3"/>
  <c r="W22" i="3"/>
  <c r="G16" i="3"/>
  <c r="H16" i="3" s="1"/>
  <c r="G30" i="3"/>
  <c r="H30" i="3" s="1"/>
  <c r="J12" i="3"/>
  <c r="K12" i="3" s="1"/>
  <c r="J26" i="3"/>
  <c r="K26" i="3" s="1"/>
  <c r="M8" i="3"/>
  <c r="N8" i="3" s="1"/>
  <c r="M22" i="3"/>
  <c r="N22" i="3" s="1"/>
  <c r="P4" i="3"/>
  <c r="Q4" i="3" s="1"/>
  <c r="P18" i="3"/>
  <c r="Q18" i="3" s="1"/>
  <c r="P32" i="3"/>
  <c r="Q32" i="3" s="1"/>
  <c r="G15" i="3"/>
  <c r="H15" i="3" s="1"/>
  <c r="G3" i="3"/>
  <c r="H3" i="3" s="1"/>
  <c r="G17" i="3"/>
  <c r="H17" i="3" s="1"/>
  <c r="G31" i="3"/>
  <c r="H31" i="3" s="1"/>
  <c r="J13" i="3"/>
  <c r="K13" i="3" s="1"/>
  <c r="J27" i="3"/>
  <c r="K27" i="3" s="1"/>
  <c r="M9" i="3"/>
  <c r="N9" i="3" s="1"/>
  <c r="M23" i="3"/>
  <c r="N23" i="3" s="1"/>
  <c r="P5" i="3"/>
  <c r="Q5" i="3" s="1"/>
  <c r="P19" i="3"/>
  <c r="Q19" i="3" s="1"/>
  <c r="P33" i="3"/>
  <c r="Q33" i="3" s="1"/>
  <c r="P30" i="3"/>
  <c r="Q30" i="3" s="1"/>
  <c r="P17" i="3"/>
  <c r="Q17" i="3" s="1"/>
  <c r="G4" i="3"/>
  <c r="H4" i="3" s="1"/>
  <c r="G18" i="3"/>
  <c r="H18" i="3" s="1"/>
  <c r="G32" i="3"/>
  <c r="H32" i="3" s="1"/>
  <c r="J14" i="3"/>
  <c r="K14" i="3" s="1"/>
  <c r="J28" i="3"/>
  <c r="K28" i="3" s="1"/>
  <c r="M10" i="3"/>
  <c r="N10" i="3" s="1"/>
  <c r="M24" i="3"/>
  <c r="N24" i="3" s="1"/>
  <c r="P6" i="3"/>
  <c r="Q6" i="3" s="1"/>
  <c r="P20" i="3"/>
  <c r="Q20" i="3" s="1"/>
  <c r="P34" i="3"/>
  <c r="Q34" i="3" s="1"/>
  <c r="T22" i="3"/>
  <c r="P3" i="3"/>
  <c r="Q3" i="3" s="1"/>
  <c r="P31" i="3"/>
  <c r="Q31" i="3" s="1"/>
  <c r="G5" i="3"/>
  <c r="H5" i="3" s="1"/>
  <c r="G19" i="3"/>
  <c r="H19" i="3" s="1"/>
  <c r="J15" i="3"/>
  <c r="K15" i="3" s="1"/>
  <c r="M11" i="3"/>
  <c r="N11" i="3" s="1"/>
  <c r="P7" i="3"/>
  <c r="Q7" i="3" s="1"/>
  <c r="T23" i="3"/>
  <c r="T5" i="3"/>
  <c r="T33" i="2"/>
  <c r="T16" i="2"/>
  <c r="T49" i="2"/>
  <c r="S13" i="3"/>
  <c r="T13" i="3" s="1"/>
  <c r="S27" i="3"/>
  <c r="T27" i="3" s="1"/>
  <c r="S14" i="3"/>
  <c r="T14" i="3" s="1"/>
  <c r="S28" i="3"/>
  <c r="T28" i="3" s="1"/>
  <c r="S13" i="2"/>
  <c r="T13" i="2" s="1"/>
  <c r="S27" i="2"/>
  <c r="T27" i="2" s="1"/>
  <c r="S41" i="2"/>
  <c r="T41" i="2" s="1"/>
  <c r="S55" i="2"/>
  <c r="T55" i="2" s="1"/>
  <c r="S69" i="2"/>
  <c r="T69" i="2" s="1"/>
  <c r="S15" i="3"/>
  <c r="T15" i="3" s="1"/>
  <c r="S29" i="3"/>
  <c r="T29" i="3" s="1"/>
  <c r="S14" i="2"/>
  <c r="T14" i="2" s="1"/>
  <c r="S28" i="2"/>
  <c r="T28" i="2" s="1"/>
  <c r="S42" i="2"/>
  <c r="T42" i="2" s="1"/>
  <c r="S56" i="2"/>
  <c r="T56" i="2" s="1"/>
  <c r="S70" i="2"/>
  <c r="T70" i="2" s="1"/>
  <c r="S16" i="3"/>
  <c r="T16" i="3" s="1"/>
  <c r="S30" i="3"/>
  <c r="T30" i="3" s="1"/>
  <c r="S15" i="2"/>
  <c r="T15" i="2" s="1"/>
  <c r="S29" i="2"/>
  <c r="T29" i="2" s="1"/>
  <c r="S43" i="2"/>
  <c r="T43" i="2" s="1"/>
  <c r="S57" i="2"/>
  <c r="T57" i="2" s="1"/>
  <c r="S3" i="3"/>
  <c r="T3" i="3" s="1"/>
  <c r="S17" i="3"/>
  <c r="T17" i="3" s="1"/>
  <c r="W4" i="3"/>
  <c r="V4" i="2"/>
  <c r="W4" i="2" s="1"/>
  <c r="V18" i="2"/>
  <c r="W18" i="2" s="1"/>
  <c r="V32" i="2"/>
  <c r="W32" i="2" s="1"/>
  <c r="V46" i="2"/>
  <c r="W46" i="2" s="1"/>
  <c r="V60" i="2"/>
  <c r="W60" i="2" s="1"/>
  <c r="V74" i="2"/>
  <c r="W74" i="2" s="1"/>
  <c r="V9" i="3"/>
  <c r="W9" i="3" s="1"/>
  <c r="V23" i="3"/>
  <c r="W23" i="3" s="1"/>
  <c r="V14" i="3"/>
  <c r="W14" i="3" s="1"/>
  <c r="V28" i="3"/>
  <c r="W28" i="3" s="1"/>
  <c r="V15" i="3"/>
  <c r="W15" i="3" s="1"/>
  <c r="V29" i="3"/>
  <c r="W29" i="3" s="1"/>
  <c r="V24" i="3"/>
  <c r="W24" i="3" s="1"/>
  <c r="V25" i="3"/>
  <c r="W25" i="3" s="1"/>
  <c r="V12" i="3"/>
  <c r="W12" i="3" s="1"/>
  <c r="V13" i="3"/>
  <c r="W13" i="3" s="1"/>
  <c r="V16" i="3"/>
  <c r="W16" i="3" s="1"/>
  <c r="V30" i="3"/>
  <c r="W30" i="3" s="1"/>
  <c r="V3" i="3"/>
  <c r="W3" i="3" s="1"/>
  <c r="V17" i="3"/>
  <c r="W17" i="3" s="1"/>
  <c r="V31" i="3"/>
  <c r="W31" i="3" s="1"/>
  <c r="V13" i="2"/>
  <c r="W13" i="2" s="1"/>
  <c r="V27" i="2"/>
  <c r="W27" i="2" s="1"/>
  <c r="V41" i="2"/>
  <c r="W41" i="2" s="1"/>
  <c r="V69" i="2"/>
  <c r="W69" i="2" s="1"/>
  <c r="V4" i="3"/>
  <c r="V18" i="3"/>
  <c r="W18" i="3" s="1"/>
  <c r="V32" i="3"/>
  <c r="W32" i="3" s="1"/>
  <c r="V14" i="2"/>
  <c r="W14" i="2" s="1"/>
  <c r="V28" i="2"/>
  <c r="W28" i="2" s="1"/>
  <c r="V42" i="2"/>
  <c r="W42" i="2" s="1"/>
  <c r="V56" i="2"/>
  <c r="W56" i="2" s="1"/>
  <c r="V70" i="2"/>
  <c r="W70" i="2" s="1"/>
  <c r="V5" i="3"/>
  <c r="W5" i="3" s="1"/>
  <c r="V19" i="3"/>
  <c r="W19" i="3" s="1"/>
  <c r="V33" i="3"/>
  <c r="W33" i="3" s="1"/>
  <c r="V15" i="2"/>
  <c r="W15" i="2" s="1"/>
  <c r="V29" i="2"/>
  <c r="W29" i="2" s="1"/>
  <c r="V43" i="2"/>
  <c r="W43" i="2" s="1"/>
  <c r="V57" i="2"/>
  <c r="W57" i="2" s="1"/>
  <c r="V71" i="2"/>
  <c r="W71" i="2" s="1"/>
  <c r="V6" i="3"/>
  <c r="W6" i="3" s="1"/>
  <c r="V20" i="3"/>
  <c r="W20" i="3" s="1"/>
  <c r="V34" i="3"/>
  <c r="W34" i="3" s="1"/>
  <c r="V10" i="3"/>
  <c r="W10" i="3" s="1"/>
  <c r="V11" i="3"/>
  <c r="W11" i="3" s="1"/>
  <c r="V26" i="3"/>
  <c r="W26" i="3" s="1"/>
  <c r="V27" i="3"/>
  <c r="W27" i="3" s="1"/>
  <c r="V16" i="2"/>
  <c r="W16" i="2" s="1"/>
  <c r="V30" i="2"/>
  <c r="W30" i="2" s="1"/>
  <c r="V44" i="2"/>
  <c r="W44" i="2" s="1"/>
  <c r="V58" i="2"/>
  <c r="W58" i="2" s="1"/>
  <c r="V72" i="2"/>
  <c r="W72" i="2" s="1"/>
  <c r="V7" i="3"/>
  <c r="W7" i="3" s="1"/>
  <c r="V21" i="3"/>
  <c r="W21" i="3" s="1"/>
  <c r="V3" i="2"/>
  <c r="W3" i="2" s="1"/>
  <c r="V17" i="2"/>
  <c r="W17" i="2" s="1"/>
  <c r="V31" i="2"/>
  <c r="W31" i="2" s="1"/>
  <c r="V45" i="2"/>
  <c r="W45" i="2" s="1"/>
  <c r="V59" i="2"/>
  <c r="W59" i="2" s="1"/>
  <c r="V8" i="3"/>
  <c r="W8" i="3" s="1"/>
  <c r="R36" i="3"/>
  <c r="E2" i="2"/>
  <c r="R84" i="2"/>
  <c r="D14" i="2"/>
  <c r="E14" i="2" s="1"/>
  <c r="D16" i="2"/>
  <c r="E16" i="2" s="1"/>
  <c r="D28" i="2"/>
  <c r="E28" i="2" s="1"/>
  <c r="D30" i="2"/>
  <c r="E30" i="2" s="1"/>
  <c r="D42" i="2"/>
  <c r="E42" i="2" s="1"/>
  <c r="D44" i="2"/>
  <c r="E44" i="2" s="1"/>
  <c r="D56" i="2"/>
  <c r="E56" i="2" s="1"/>
  <c r="C36" i="3"/>
  <c r="D58" i="2"/>
  <c r="E58" i="2" s="1"/>
  <c r="F36" i="3"/>
  <c r="D70" i="2"/>
  <c r="E70" i="2" s="1"/>
  <c r="I36" i="3"/>
  <c r="L36" i="3"/>
  <c r="O36" i="3"/>
  <c r="D15" i="2"/>
  <c r="E15" i="2" s="1"/>
  <c r="D29" i="2"/>
  <c r="E29" i="2" s="1"/>
  <c r="D43" i="2"/>
  <c r="E43" i="2" s="1"/>
  <c r="D57" i="2"/>
  <c r="E57" i="2" s="1"/>
  <c r="D71" i="2"/>
  <c r="E71" i="2" s="1"/>
  <c r="D3" i="3"/>
  <c r="E3" i="3" s="1"/>
  <c r="D17" i="3"/>
  <c r="E17" i="3" s="1"/>
  <c r="D31" i="3"/>
  <c r="E31" i="3" s="1"/>
  <c r="D18" i="3"/>
  <c r="E18" i="3" s="1"/>
  <c r="D16" i="3"/>
  <c r="E16" i="3" s="1"/>
  <c r="D32" i="3"/>
  <c r="E32" i="3" s="1"/>
  <c r="D3" i="2"/>
  <c r="E3" i="2" s="1"/>
  <c r="D31" i="2"/>
  <c r="E31" i="2" s="1"/>
  <c r="D59" i="2"/>
  <c r="E59" i="2" s="1"/>
  <c r="D5" i="3"/>
  <c r="E5" i="3" s="1"/>
  <c r="D4" i="2"/>
  <c r="E4" i="2" s="1"/>
  <c r="D32" i="2"/>
  <c r="E32" i="2" s="1"/>
  <c r="D46" i="2"/>
  <c r="E46" i="2" s="1"/>
  <c r="D74" i="2"/>
  <c r="E74" i="2" s="1"/>
  <c r="D6" i="3"/>
  <c r="E6" i="3" s="1"/>
  <c r="D20" i="3"/>
  <c r="E20" i="3" s="1"/>
  <c r="D19" i="2"/>
  <c r="E19" i="2" s="1"/>
  <c r="D61" i="2"/>
  <c r="E61" i="2" s="1"/>
  <c r="E2" i="3"/>
  <c r="D6" i="2"/>
  <c r="E6" i="2" s="1"/>
  <c r="D20" i="2"/>
  <c r="E20" i="2" s="1"/>
  <c r="D34" i="2"/>
  <c r="E34" i="2" s="1"/>
  <c r="D48" i="2"/>
  <c r="E48" i="2" s="1"/>
  <c r="D62" i="2"/>
  <c r="E62" i="2" s="1"/>
  <c r="D76" i="2"/>
  <c r="D8" i="3"/>
  <c r="E8" i="3" s="1"/>
  <c r="D22" i="3"/>
  <c r="E22" i="3" s="1"/>
  <c r="U36" i="3"/>
  <c r="D7" i="2"/>
  <c r="E7" i="2" s="1"/>
  <c r="D21" i="2"/>
  <c r="E21" i="2" s="1"/>
  <c r="D35" i="2"/>
  <c r="E35" i="2" s="1"/>
  <c r="D49" i="2"/>
  <c r="E49" i="2" s="1"/>
  <c r="D63" i="2"/>
  <c r="E63" i="2" s="1"/>
  <c r="D77" i="2"/>
  <c r="E77" i="2" s="1"/>
  <c r="D9" i="3"/>
  <c r="E9" i="3" s="1"/>
  <c r="D23" i="3"/>
  <c r="E23" i="3" s="1"/>
  <c r="I84" i="2"/>
  <c r="D24" i="3"/>
  <c r="E24" i="3" s="1"/>
  <c r="D79" i="2"/>
  <c r="E79" i="2" s="1"/>
  <c r="L84" i="2"/>
  <c r="D52" i="2"/>
  <c r="E52" i="2" s="1"/>
  <c r="O84" i="2"/>
  <c r="D12" i="3"/>
  <c r="E12" i="3" s="1"/>
  <c r="D26" i="3"/>
  <c r="E26" i="3" s="1"/>
  <c r="D25" i="2"/>
  <c r="E25" i="2" s="1"/>
  <c r="D81" i="2"/>
  <c r="E81" i="2" s="1"/>
  <c r="D68" i="2"/>
  <c r="E68" i="2" s="1"/>
  <c r="U84" i="2"/>
  <c r="D14" i="3"/>
  <c r="E14" i="3" s="1"/>
  <c r="D30" i="3"/>
  <c r="E30" i="3" s="1"/>
  <c r="D4" i="3"/>
  <c r="E4" i="3" s="1"/>
  <c r="D17" i="2"/>
  <c r="E17" i="2" s="1"/>
  <c r="D45" i="2"/>
  <c r="E45" i="2" s="1"/>
  <c r="D73" i="2"/>
  <c r="E73" i="2" s="1"/>
  <c r="D19" i="3"/>
  <c r="E19" i="3" s="1"/>
  <c r="D33" i="3"/>
  <c r="E33" i="3" s="1"/>
  <c r="D18" i="2"/>
  <c r="E18" i="2" s="1"/>
  <c r="D60" i="2"/>
  <c r="E60" i="2" s="1"/>
  <c r="D34" i="3"/>
  <c r="E34" i="3" s="1"/>
  <c r="D5" i="2"/>
  <c r="E5" i="2" s="1"/>
  <c r="D33" i="2"/>
  <c r="E33" i="2" s="1"/>
  <c r="D47" i="2"/>
  <c r="E47" i="2" s="1"/>
  <c r="D75" i="2"/>
  <c r="E75" i="2" s="1"/>
  <c r="C84" i="2"/>
  <c r="D7" i="3"/>
  <c r="E7" i="3" s="1"/>
  <c r="D21" i="3"/>
  <c r="E21" i="3" s="1"/>
  <c r="D8" i="2"/>
  <c r="E8" i="2" s="1"/>
  <c r="D22" i="2"/>
  <c r="E22" i="2" s="1"/>
  <c r="D36" i="2"/>
  <c r="E36" i="2" s="1"/>
  <c r="D50" i="2"/>
  <c r="E50" i="2" s="1"/>
  <c r="D64" i="2"/>
  <c r="E64" i="2" s="1"/>
  <c r="D78" i="2"/>
  <c r="E78" i="2" s="1"/>
  <c r="D10" i="3"/>
  <c r="E10" i="3" s="1"/>
  <c r="D9" i="2"/>
  <c r="E9" i="2" s="1"/>
  <c r="D23" i="2"/>
  <c r="E23" i="2" s="1"/>
  <c r="D37" i="2"/>
  <c r="E37" i="2" s="1"/>
  <c r="D51" i="2"/>
  <c r="E51" i="2" s="1"/>
  <c r="D65" i="2"/>
  <c r="E65" i="2" s="1"/>
  <c r="D11" i="3"/>
  <c r="E11" i="3" s="1"/>
  <c r="D25" i="3"/>
  <c r="E25" i="3" s="1"/>
  <c r="D10" i="2"/>
  <c r="E10" i="2" s="1"/>
  <c r="D24" i="2"/>
  <c r="E24" i="2" s="1"/>
  <c r="D38" i="2"/>
  <c r="E38" i="2" s="1"/>
  <c r="D66" i="2"/>
  <c r="E66" i="2" s="1"/>
  <c r="D80" i="2"/>
  <c r="E80" i="2" s="1"/>
  <c r="D11" i="2"/>
  <c r="E11" i="2" s="1"/>
  <c r="D39" i="2"/>
  <c r="E39" i="2" s="1"/>
  <c r="D53" i="2"/>
  <c r="E53" i="2" s="1"/>
  <c r="D67" i="2"/>
  <c r="E67" i="2" s="1"/>
  <c r="D13" i="3"/>
  <c r="E13" i="3" s="1"/>
  <c r="D27" i="3"/>
  <c r="E27" i="3" s="1"/>
  <c r="D12" i="2"/>
  <c r="E12" i="2" s="1"/>
  <c r="D26" i="2"/>
  <c r="E26" i="2" s="1"/>
  <c r="D40" i="2"/>
  <c r="E40" i="2" s="1"/>
  <c r="D54" i="2"/>
  <c r="E54" i="2" s="1"/>
  <c r="D82" i="2"/>
  <c r="E82" i="2" s="1"/>
  <c r="D28" i="3"/>
  <c r="E28" i="3" s="1"/>
  <c r="D13" i="2"/>
  <c r="E13" i="2" s="1"/>
  <c r="D27" i="2"/>
  <c r="E27" i="2" s="1"/>
  <c r="D41" i="2"/>
  <c r="E41" i="2" s="1"/>
  <c r="D55" i="2"/>
  <c r="E55" i="2" s="1"/>
  <c r="D69" i="2"/>
  <c r="E69" i="2" s="1"/>
  <c r="D15" i="3"/>
  <c r="E15" i="3" s="1"/>
  <c r="D29" i="3"/>
  <c r="E29" i="3" s="1"/>
  <c r="Q2" i="2"/>
  <c r="E72" i="2"/>
  <c r="E76" i="2"/>
  <c r="H58" i="2" l="1"/>
  <c r="P84" i="2"/>
  <c r="S84" i="2"/>
  <c r="M36" i="3"/>
  <c r="S36" i="3"/>
  <c r="G36" i="3"/>
  <c r="D36" i="3"/>
  <c r="D84" i="2"/>
  <c r="M84" i="2"/>
  <c r="J84" i="2"/>
  <c r="J36" i="3"/>
  <c r="P36" i="3"/>
  <c r="V84" i="2"/>
  <c r="V36" i="3"/>
  <c r="G84" i="2"/>
</calcChain>
</file>

<file path=xl/sharedStrings.xml><?xml version="1.0" encoding="utf-8"?>
<sst xmlns="http://schemas.openxmlformats.org/spreadsheetml/2006/main" count="248" uniqueCount="151">
  <si>
    <t>county</t>
  </si>
  <si>
    <t>1900 population</t>
  </si>
  <si>
    <t>Anderson</t>
  </si>
  <si>
    <t>Bedford</t>
  </si>
  <si>
    <t>Benton</t>
  </si>
  <si>
    <t>Bledsoe</t>
  </si>
  <si>
    <t>Blount</t>
  </si>
  <si>
    <t>Bradley</t>
  </si>
  <si>
    <t>Campbell</t>
  </si>
  <si>
    <t>Cannon</t>
  </si>
  <si>
    <t>Carroll</t>
  </si>
  <si>
    <t>Carter</t>
  </si>
  <si>
    <t>Cheatham</t>
  </si>
  <si>
    <t>Chester</t>
  </si>
  <si>
    <t>Claiborne</t>
  </si>
  <si>
    <t>Clay</t>
  </si>
  <si>
    <t>Cocke</t>
  </si>
  <si>
    <t>Coffee</t>
  </si>
  <si>
    <t>Crockett</t>
  </si>
  <si>
    <t>Cumberland</t>
  </si>
  <si>
    <t>Davidson</t>
  </si>
  <si>
    <t>Decatur</t>
  </si>
  <si>
    <t>DeKalb</t>
  </si>
  <si>
    <t>Dickson</t>
  </si>
  <si>
    <t>Dyer</t>
  </si>
  <si>
    <t>Fayette</t>
  </si>
  <si>
    <t>Fentress</t>
  </si>
  <si>
    <t>Franklin</t>
  </si>
  <si>
    <t>Gibson</t>
  </si>
  <si>
    <t>Giles</t>
  </si>
  <si>
    <t>Grainger</t>
  </si>
  <si>
    <t>Greene</t>
  </si>
  <si>
    <t>Grundy</t>
  </si>
  <si>
    <t>Hamblen</t>
  </si>
  <si>
    <t>Hamilton</t>
  </si>
  <si>
    <t>Hancock</t>
  </si>
  <si>
    <t>Hardeman</t>
  </si>
  <si>
    <t>Hardin</t>
  </si>
  <si>
    <t>Hawkins</t>
  </si>
  <si>
    <t>Haywood</t>
  </si>
  <si>
    <t>Henderson</t>
  </si>
  <si>
    <t>Henry</t>
  </si>
  <si>
    <t>Hickman</t>
  </si>
  <si>
    <t>Houston</t>
  </si>
  <si>
    <t>Humphreys</t>
  </si>
  <si>
    <t>Jackson</t>
  </si>
  <si>
    <t>Jefferson</t>
  </si>
  <si>
    <t>Johnson</t>
  </si>
  <si>
    <t>Knox</t>
  </si>
  <si>
    <t>Lake</t>
  </si>
  <si>
    <t>Lauderdale</t>
  </si>
  <si>
    <t>Lawrence</t>
  </si>
  <si>
    <t>Lewis</t>
  </si>
  <si>
    <t>Lincoln</t>
  </si>
  <si>
    <t>Loudon</t>
  </si>
  <si>
    <t>Macon</t>
  </si>
  <si>
    <t>Madison</t>
  </si>
  <si>
    <t>Marion</t>
  </si>
  <si>
    <t>Marshall</t>
  </si>
  <si>
    <t>Maury</t>
  </si>
  <si>
    <t>McMinn</t>
  </si>
  <si>
    <t>McNairy</t>
  </si>
  <si>
    <t>Meigs</t>
  </si>
  <si>
    <t>Monroe</t>
  </si>
  <si>
    <t>Montgomery</t>
  </si>
  <si>
    <t>Moore</t>
  </si>
  <si>
    <t>Morgan</t>
  </si>
  <si>
    <t>Obion</t>
  </si>
  <si>
    <t>Overton</t>
  </si>
  <si>
    <t>Perry</t>
  </si>
  <si>
    <t>Pickett</t>
  </si>
  <si>
    <t>Polk</t>
  </si>
  <si>
    <t>Putnam</t>
  </si>
  <si>
    <t>Rhea</t>
  </si>
  <si>
    <t>Roane</t>
  </si>
  <si>
    <t>Robertson</t>
  </si>
  <si>
    <t>Rutherford</t>
  </si>
  <si>
    <t>Scott</t>
  </si>
  <si>
    <t>Sequatchie</t>
  </si>
  <si>
    <t>Sevier</t>
  </si>
  <si>
    <t>Shelby</t>
  </si>
  <si>
    <t>Smith</t>
  </si>
  <si>
    <t>Stewart</t>
  </si>
  <si>
    <t>Sullivan</t>
  </si>
  <si>
    <t>Sumner</t>
  </si>
  <si>
    <t>Tipton</t>
  </si>
  <si>
    <t>Trousdale</t>
  </si>
  <si>
    <t>Unicoi</t>
  </si>
  <si>
    <t>Union</t>
  </si>
  <si>
    <t>Van Buren</t>
  </si>
  <si>
    <t>Warren</t>
  </si>
  <si>
    <t>Washington</t>
  </si>
  <si>
    <t>Wayne</t>
  </si>
  <si>
    <t>Weakley</t>
  </si>
  <si>
    <t>White</t>
  </si>
  <si>
    <t>Williamson</t>
  </si>
  <si>
    <t>Wilson</t>
  </si>
  <si>
    <t>seats</t>
  </si>
  <si>
    <t>Johnson &amp; Carter</t>
  </si>
  <si>
    <t>Sullivan &amp; Hawkins</t>
  </si>
  <si>
    <t>Washington, Greene, &amp; Unicoi</t>
  </si>
  <si>
    <t>Jefferson &amp; Hamblen</t>
  </si>
  <si>
    <t>Hancock &amp; Grainger</t>
  </si>
  <si>
    <t>Scott, Campbell, &amp; Union</t>
  </si>
  <si>
    <t>Anderson &amp; Morgan</t>
  </si>
  <si>
    <t>Knox &amp; Loudon</t>
  </si>
  <si>
    <t>Polk &amp; Bradley</t>
  </si>
  <si>
    <t>Meigs &amp; Rhea</t>
  </si>
  <si>
    <t>Cumberland, Bledsoe, Sequatchie, Van Buren, &amp; Grundy</t>
  </si>
  <si>
    <t>Fentress, Pickett, Overton, Clay, &amp; Putnam</t>
  </si>
  <si>
    <t>Sumner, Trousdale, &amp; Macon</t>
  </si>
  <si>
    <t>Davidson &amp; Wilson</t>
  </si>
  <si>
    <t>Giles, Lewis, Maury, &amp; Wayne</t>
  </si>
  <si>
    <t>Williamson, Cheatham, &amp; Robertson</t>
  </si>
  <si>
    <t>Montgomery &amp; Houston</t>
  </si>
  <si>
    <t>Humphreys &amp; Perry</t>
  </si>
  <si>
    <t>Benton &amp; Decatur</t>
  </si>
  <si>
    <t>Henry, Weakley, &amp; Carroll</t>
  </si>
  <si>
    <t>Madison &amp; Henderson</t>
  </si>
  <si>
    <t>Tipton &amp; Lauderdale</t>
  </si>
  <si>
    <t>deviation</t>
  </si>
  <si>
    <t>seat</t>
  </si>
  <si>
    <t>counties</t>
  </si>
  <si>
    <t>Johnson, Carter, Unicoi, Greene, &amp; Washington</t>
  </si>
  <si>
    <t>Hancock, Morgan, Grainger, Claiborne, Union, Campbell, &amp; Scott</t>
  </si>
  <si>
    <t>Cocke, Hamblen, Jefferson, Sevier, &amp; Blount</t>
  </si>
  <si>
    <t>Knox, Loudon, Anderson, &amp; Roane</t>
  </si>
  <si>
    <t>McMinn, Bradley, Monroe, &amp; Polk</t>
  </si>
  <si>
    <t>Rhea, Meigs, Bledsoe, Sequatchie, Van Buren, White, &amp; Cumberland</t>
  </si>
  <si>
    <t>Fentress, Pickett, Clay, Overton, Putnam, &amp; Jackson</t>
  </si>
  <si>
    <t>Marion, Franklin, Grundy, &amp; Warren</t>
  </si>
  <si>
    <t>Wilson &amp; Smith</t>
  </si>
  <si>
    <t>Rutherford, Cannon, &amp; DeKalb</t>
  </si>
  <si>
    <t>Montgomery &amp; Robertson</t>
  </si>
  <si>
    <t>Bedford, Coffee, &amp; Moore</t>
  </si>
  <si>
    <t>Lincoln &amp; Marshall</t>
  </si>
  <si>
    <t>Maury, Perry, &amp; Lewis</t>
  </si>
  <si>
    <t>Hickman, Williamson, &amp; Cheatham</t>
  </si>
  <si>
    <t>Giles, Lawrence, &amp; Wayne</t>
  </si>
  <si>
    <t>Dickson, Humphreys, Houston, &amp; Stewart</t>
  </si>
  <si>
    <t>Henry &amp; Carroll</t>
  </si>
  <si>
    <t>Madison, Henderson, &amp; Chester</t>
  </si>
  <si>
    <t>Haywood &amp; Fayette</t>
  </si>
  <si>
    <t>Tipton &amp; Shelby</t>
  </si>
  <si>
    <t>Dyer, Lauderdale, &amp; Crockett</t>
  </si>
  <si>
    <t>Lake, Obion, &amp; Weakley</t>
  </si>
  <si>
    <t>Hardeman, McNairy, Hardin, Decatur, &amp; Benton</t>
  </si>
  <si>
    <t>ideal population</t>
  </si>
  <si>
    <t>population change from 1900</t>
  </si>
  <si>
    <t>population change since 1900</t>
  </si>
  <si>
    <t>Note James county was abolished in 1919 and merged with Hamilton County. James population is added to Hamilton in 1900 and 1910 in this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</si>
</sst>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0_);\(0\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6" fontId="0" fillId="0" borderId="0" xfId="1" applyNumberFormat="1" applyFont="1"/>
    <xf numFmtId="1" fontId="0" fillId="0" borderId="0" xfId="0" applyNumberFormat="1"/>
    <xf numFmtId="2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D97A9-CF93-4505-A6DF-8B695842A11B}">
  <dimension ref="A1:L98"/>
  <sheetViews>
    <sheetView tabSelected="1" workbookViewId="0">
      <pane ySplit="1" topLeftCell="A89" activePane="bottomLeft" state="frozen"/>
      <selection pane="bottomLeft" activeCell="C99" sqref="C99"/>
    </sheetView>
  </sheetViews>
  <sheetFormatPr defaultRowHeight="15" x14ac:dyDescent="0.25"/>
  <cols>
    <col min="1" max="1" width="11.85546875" bestFit="1" customWidth="1"/>
    <col min="2" max="2" width="15.28515625" style="3" bestFit="1" customWidth="1"/>
    <col min="3" max="5" width="9.28515625" style="3" bestFit="1" customWidth="1"/>
    <col min="6" max="6" width="9.5703125" style="3" bestFit="1" customWidth="1"/>
    <col min="7" max="7" width="11.5703125" bestFit="1" customWidth="1"/>
    <col min="12" max="12" width="9.5703125" style="2" bestFit="1" customWidth="1"/>
  </cols>
  <sheetData>
    <row r="1" spans="1:8" x14ac:dyDescent="0.25">
      <c r="A1" t="s">
        <v>0</v>
      </c>
      <c r="B1" s="3" t="s">
        <v>1</v>
      </c>
      <c r="C1" s="2">
        <v>1910</v>
      </c>
      <c r="D1" s="2">
        <v>1920</v>
      </c>
      <c r="E1" s="2">
        <v>1930</v>
      </c>
      <c r="F1" s="2">
        <v>1940</v>
      </c>
      <c r="G1">
        <v>1950</v>
      </c>
      <c r="H1">
        <v>1960</v>
      </c>
    </row>
    <row r="2" spans="1:8" x14ac:dyDescent="0.25">
      <c r="A2" t="s">
        <v>2</v>
      </c>
      <c r="B2" s="2">
        <v>17634</v>
      </c>
      <c r="C2" s="2">
        <v>17717</v>
      </c>
      <c r="D2" s="2">
        <v>18298</v>
      </c>
      <c r="E2" s="2">
        <v>19722</v>
      </c>
      <c r="F2" s="2">
        <v>26504</v>
      </c>
      <c r="G2" s="1">
        <v>59407</v>
      </c>
      <c r="H2">
        <v>60032</v>
      </c>
    </row>
    <row r="3" spans="1:8" x14ac:dyDescent="0.25">
      <c r="A3" t="s">
        <v>3</v>
      </c>
      <c r="B3" s="2">
        <v>23845</v>
      </c>
      <c r="C3" s="2">
        <v>22667</v>
      </c>
      <c r="D3" s="2">
        <v>21737</v>
      </c>
      <c r="E3" s="2">
        <v>21077</v>
      </c>
      <c r="F3" s="2">
        <v>23151</v>
      </c>
      <c r="G3" s="1">
        <v>23627</v>
      </c>
      <c r="H3">
        <v>23150</v>
      </c>
    </row>
    <row r="4" spans="1:8" x14ac:dyDescent="0.25">
      <c r="A4" t="s">
        <v>4</v>
      </c>
      <c r="B4" s="2">
        <v>11888</v>
      </c>
      <c r="C4" s="2">
        <v>12452</v>
      </c>
      <c r="D4" s="2">
        <v>12046</v>
      </c>
      <c r="E4" s="2">
        <v>11237</v>
      </c>
      <c r="F4" s="2">
        <v>11976</v>
      </c>
      <c r="G4" s="1">
        <v>11495</v>
      </c>
      <c r="H4">
        <v>10662</v>
      </c>
    </row>
    <row r="5" spans="1:8" x14ac:dyDescent="0.25">
      <c r="A5" t="s">
        <v>5</v>
      </c>
      <c r="B5" s="2">
        <v>6626</v>
      </c>
      <c r="C5" s="2">
        <v>6329</v>
      </c>
      <c r="D5" s="2">
        <v>7218</v>
      </c>
      <c r="E5" s="2">
        <v>7128</v>
      </c>
      <c r="F5" s="2">
        <v>8358</v>
      </c>
      <c r="G5" s="1">
        <v>8561</v>
      </c>
      <c r="H5">
        <v>7811</v>
      </c>
    </row>
    <row r="6" spans="1:8" x14ac:dyDescent="0.25">
      <c r="A6" t="s">
        <v>6</v>
      </c>
      <c r="B6" s="2">
        <v>19206</v>
      </c>
      <c r="C6" s="2">
        <v>20809</v>
      </c>
      <c r="D6" s="2">
        <v>28800</v>
      </c>
      <c r="E6" s="2">
        <v>33989</v>
      </c>
      <c r="F6" s="2">
        <v>41116</v>
      </c>
      <c r="G6" s="1">
        <v>54691</v>
      </c>
      <c r="H6">
        <v>57525</v>
      </c>
    </row>
    <row r="7" spans="1:8" x14ac:dyDescent="0.25">
      <c r="A7" t="s">
        <v>7</v>
      </c>
      <c r="B7" s="2">
        <v>15759</v>
      </c>
      <c r="C7" s="2">
        <v>16336</v>
      </c>
      <c r="D7" s="2">
        <v>18652</v>
      </c>
      <c r="E7" s="2">
        <v>22870</v>
      </c>
      <c r="F7" s="2">
        <v>28498</v>
      </c>
      <c r="G7" s="1">
        <v>32338</v>
      </c>
      <c r="H7">
        <v>38324</v>
      </c>
    </row>
    <row r="8" spans="1:8" x14ac:dyDescent="0.25">
      <c r="A8" t="s">
        <v>8</v>
      </c>
      <c r="B8" s="2">
        <v>17317</v>
      </c>
      <c r="C8" s="2">
        <v>27387</v>
      </c>
      <c r="D8" s="2">
        <v>28265</v>
      </c>
      <c r="E8" s="2">
        <v>26827</v>
      </c>
      <c r="F8" s="2">
        <v>31131</v>
      </c>
      <c r="G8" s="1">
        <v>34369</v>
      </c>
      <c r="H8">
        <v>27936</v>
      </c>
    </row>
    <row r="9" spans="1:8" x14ac:dyDescent="0.25">
      <c r="A9" t="s">
        <v>9</v>
      </c>
      <c r="B9" s="2">
        <v>12121</v>
      </c>
      <c r="C9" s="2">
        <v>10825</v>
      </c>
      <c r="D9" s="2">
        <v>10241</v>
      </c>
      <c r="E9" s="2">
        <v>8935</v>
      </c>
      <c r="F9" s="2">
        <v>9880</v>
      </c>
      <c r="G9" s="1">
        <v>9174</v>
      </c>
      <c r="H9">
        <v>8537</v>
      </c>
    </row>
    <row r="10" spans="1:8" x14ac:dyDescent="0.25">
      <c r="A10" t="s">
        <v>10</v>
      </c>
      <c r="B10" s="2">
        <v>24250</v>
      </c>
      <c r="C10" s="2">
        <v>23971</v>
      </c>
      <c r="D10" s="2">
        <v>24361</v>
      </c>
      <c r="E10" s="2">
        <v>26132</v>
      </c>
      <c r="F10" s="2">
        <v>25978</v>
      </c>
      <c r="G10" s="1">
        <v>26553</v>
      </c>
      <c r="H10">
        <v>23476</v>
      </c>
    </row>
    <row r="11" spans="1:8" x14ac:dyDescent="0.25">
      <c r="A11" t="s">
        <v>11</v>
      </c>
      <c r="B11" s="2">
        <v>16688</v>
      </c>
      <c r="C11" s="2">
        <v>19838</v>
      </c>
      <c r="D11" s="2">
        <v>21488</v>
      </c>
      <c r="E11" s="2">
        <v>29223</v>
      </c>
      <c r="F11" s="2">
        <v>35127</v>
      </c>
      <c r="G11" s="1">
        <v>42432</v>
      </c>
      <c r="H11">
        <v>41578</v>
      </c>
    </row>
    <row r="12" spans="1:8" x14ac:dyDescent="0.25">
      <c r="A12" t="s">
        <v>12</v>
      </c>
      <c r="B12" s="2">
        <v>10112</v>
      </c>
      <c r="C12" s="2">
        <v>10540</v>
      </c>
      <c r="D12" s="2">
        <v>10039</v>
      </c>
      <c r="E12" s="2">
        <v>9025</v>
      </c>
      <c r="F12" s="2">
        <v>9928</v>
      </c>
      <c r="G12" s="1">
        <v>9167</v>
      </c>
      <c r="H12">
        <v>9428</v>
      </c>
    </row>
    <row r="13" spans="1:8" x14ac:dyDescent="0.25">
      <c r="A13" t="s">
        <v>13</v>
      </c>
      <c r="B13" s="2">
        <v>9896</v>
      </c>
      <c r="C13" s="2">
        <v>9090</v>
      </c>
      <c r="D13" s="2">
        <v>9669</v>
      </c>
      <c r="E13" s="2">
        <v>10603</v>
      </c>
      <c r="F13" s="2">
        <v>11124</v>
      </c>
      <c r="G13" s="1">
        <v>11149</v>
      </c>
      <c r="H13">
        <v>9569</v>
      </c>
    </row>
    <row r="14" spans="1:8" x14ac:dyDescent="0.25">
      <c r="A14" t="s">
        <v>14</v>
      </c>
      <c r="B14" s="2">
        <v>20696</v>
      </c>
      <c r="C14" s="2">
        <v>23504</v>
      </c>
      <c r="D14" s="2">
        <v>23286</v>
      </c>
      <c r="E14" s="2">
        <v>24313</v>
      </c>
      <c r="F14" s="2">
        <v>24657</v>
      </c>
      <c r="G14" s="1">
        <v>24788</v>
      </c>
      <c r="H14">
        <v>19067</v>
      </c>
    </row>
    <row r="15" spans="1:8" x14ac:dyDescent="0.25">
      <c r="A15" t="s">
        <v>15</v>
      </c>
      <c r="B15" s="2">
        <v>8421</v>
      </c>
      <c r="C15" s="2">
        <v>9009</v>
      </c>
      <c r="D15" s="2">
        <v>9193</v>
      </c>
      <c r="E15" s="2">
        <v>9577</v>
      </c>
      <c r="F15" s="2">
        <v>10904</v>
      </c>
      <c r="G15" s="1">
        <v>8701</v>
      </c>
      <c r="H15">
        <v>7289</v>
      </c>
    </row>
    <row r="16" spans="1:8" x14ac:dyDescent="0.25">
      <c r="A16" t="s">
        <v>16</v>
      </c>
      <c r="B16" s="2">
        <v>19153</v>
      </c>
      <c r="C16" s="2">
        <v>19399</v>
      </c>
      <c r="D16" s="2">
        <v>20782</v>
      </c>
      <c r="E16" s="2">
        <v>21775</v>
      </c>
      <c r="F16" s="2">
        <v>24083</v>
      </c>
      <c r="G16" s="1">
        <v>22991</v>
      </c>
      <c r="H16">
        <v>23390</v>
      </c>
    </row>
    <row r="17" spans="1:8" x14ac:dyDescent="0.25">
      <c r="A17" t="s">
        <v>17</v>
      </c>
      <c r="B17" s="2">
        <v>15574</v>
      </c>
      <c r="C17" s="2">
        <v>15625</v>
      </c>
      <c r="D17" s="2">
        <v>17344</v>
      </c>
      <c r="E17" s="2">
        <v>16801</v>
      </c>
      <c r="F17" s="2">
        <v>18959</v>
      </c>
      <c r="G17" s="1">
        <v>23049</v>
      </c>
      <c r="H17">
        <v>28603</v>
      </c>
    </row>
    <row r="18" spans="1:8" x14ac:dyDescent="0.25">
      <c r="A18" t="s">
        <v>18</v>
      </c>
      <c r="B18" s="2">
        <v>15867</v>
      </c>
      <c r="C18" s="2">
        <v>16076</v>
      </c>
      <c r="D18" s="2">
        <v>17438</v>
      </c>
      <c r="E18" s="2">
        <v>17359</v>
      </c>
      <c r="F18" s="2">
        <v>17330</v>
      </c>
      <c r="G18" s="1">
        <v>16624</v>
      </c>
      <c r="H18">
        <v>14594</v>
      </c>
    </row>
    <row r="19" spans="1:8" x14ac:dyDescent="0.25">
      <c r="A19" t="s">
        <v>19</v>
      </c>
      <c r="B19" s="2">
        <v>8311</v>
      </c>
      <c r="C19" s="2">
        <v>9327</v>
      </c>
      <c r="D19" s="2">
        <v>10094</v>
      </c>
      <c r="E19" s="2">
        <v>11440</v>
      </c>
      <c r="F19" s="2">
        <v>15592</v>
      </c>
      <c r="G19" s="1">
        <v>18877</v>
      </c>
      <c r="H19">
        <v>19135</v>
      </c>
    </row>
    <row r="20" spans="1:8" x14ac:dyDescent="0.25">
      <c r="A20" t="s">
        <v>20</v>
      </c>
      <c r="B20" s="2">
        <v>122815</v>
      </c>
      <c r="C20" s="2">
        <v>149478</v>
      </c>
      <c r="D20" s="2">
        <v>167815</v>
      </c>
      <c r="E20" s="2">
        <v>222854</v>
      </c>
      <c r="F20" s="2">
        <v>257267</v>
      </c>
      <c r="G20" s="1">
        <v>321758</v>
      </c>
      <c r="H20">
        <v>399743</v>
      </c>
    </row>
    <row r="21" spans="1:8" x14ac:dyDescent="0.25">
      <c r="A21" t="s">
        <v>21</v>
      </c>
      <c r="B21" s="2">
        <v>10439</v>
      </c>
      <c r="C21" s="2">
        <v>10093</v>
      </c>
      <c r="D21" s="2">
        <v>10198</v>
      </c>
      <c r="E21" s="2">
        <v>10106</v>
      </c>
      <c r="F21" s="2">
        <v>10261</v>
      </c>
      <c r="G21" s="1">
        <v>9442</v>
      </c>
      <c r="H21">
        <v>8324</v>
      </c>
    </row>
    <row r="22" spans="1:8" x14ac:dyDescent="0.25">
      <c r="A22" t="s">
        <v>22</v>
      </c>
      <c r="B22" s="2">
        <v>16460</v>
      </c>
      <c r="C22" s="2">
        <v>15434</v>
      </c>
      <c r="D22" s="2">
        <v>15370</v>
      </c>
      <c r="E22" s="2">
        <v>14213</v>
      </c>
      <c r="F22" s="2">
        <v>14588</v>
      </c>
      <c r="G22" s="1">
        <v>11680</v>
      </c>
      <c r="H22">
        <v>10774</v>
      </c>
    </row>
    <row r="23" spans="1:8" x14ac:dyDescent="0.25">
      <c r="A23" t="s">
        <v>23</v>
      </c>
      <c r="B23" s="2">
        <v>18635</v>
      </c>
      <c r="C23" s="2">
        <v>19955</v>
      </c>
      <c r="D23" s="2">
        <v>19342</v>
      </c>
      <c r="E23" s="2">
        <v>18491</v>
      </c>
      <c r="F23" s="2">
        <v>19718</v>
      </c>
      <c r="G23" s="1">
        <v>18805</v>
      </c>
      <c r="H23">
        <v>18839</v>
      </c>
    </row>
    <row r="24" spans="1:8" x14ac:dyDescent="0.25">
      <c r="A24" t="s">
        <v>24</v>
      </c>
      <c r="B24" s="2">
        <v>23776</v>
      </c>
      <c r="C24" s="2">
        <v>27721</v>
      </c>
      <c r="D24" s="2">
        <v>29983</v>
      </c>
      <c r="E24" s="2">
        <v>31405</v>
      </c>
      <c r="F24" s="2">
        <v>34920</v>
      </c>
      <c r="G24" s="1">
        <v>33473</v>
      </c>
      <c r="H24">
        <v>29537</v>
      </c>
    </row>
    <row r="25" spans="1:8" x14ac:dyDescent="0.25">
      <c r="A25" t="s">
        <v>25</v>
      </c>
      <c r="B25" s="2">
        <v>29701</v>
      </c>
      <c r="C25" s="2">
        <v>30257</v>
      </c>
      <c r="D25" s="2">
        <v>31499</v>
      </c>
      <c r="E25" s="2">
        <v>28891</v>
      </c>
      <c r="F25" s="2">
        <v>30322</v>
      </c>
      <c r="G25" s="1">
        <v>27535</v>
      </c>
      <c r="H25">
        <v>24577</v>
      </c>
    </row>
    <row r="26" spans="1:8" x14ac:dyDescent="0.25">
      <c r="A26" t="s">
        <v>26</v>
      </c>
      <c r="B26" s="2">
        <v>6106</v>
      </c>
      <c r="C26" s="2">
        <v>7446</v>
      </c>
      <c r="D26" s="2">
        <v>10435</v>
      </c>
      <c r="E26" s="2">
        <v>11036</v>
      </c>
      <c r="F26" s="2">
        <v>14262</v>
      </c>
      <c r="G26" s="1">
        <v>14917</v>
      </c>
      <c r="H26">
        <v>13288</v>
      </c>
    </row>
    <row r="27" spans="1:8" x14ac:dyDescent="0.25">
      <c r="A27" t="s">
        <v>27</v>
      </c>
      <c r="B27" s="2">
        <v>20392</v>
      </c>
      <c r="C27" s="2">
        <v>20491</v>
      </c>
      <c r="D27" s="2">
        <v>20641</v>
      </c>
      <c r="E27" s="2">
        <v>21796</v>
      </c>
      <c r="F27" s="2">
        <v>23892</v>
      </c>
      <c r="G27" s="1">
        <v>25431</v>
      </c>
      <c r="H27">
        <v>25528</v>
      </c>
    </row>
    <row r="28" spans="1:8" x14ac:dyDescent="0.25">
      <c r="A28" t="s">
        <v>28</v>
      </c>
      <c r="B28" s="2">
        <v>39408</v>
      </c>
      <c r="C28" s="2">
        <v>41630</v>
      </c>
      <c r="D28" s="2">
        <v>43388</v>
      </c>
      <c r="E28" s="2">
        <v>46528</v>
      </c>
      <c r="F28" s="2">
        <v>44835</v>
      </c>
      <c r="G28" s="1">
        <v>48132</v>
      </c>
      <c r="H28">
        <v>44699</v>
      </c>
    </row>
    <row r="29" spans="1:8" x14ac:dyDescent="0.25">
      <c r="A29" t="s">
        <v>29</v>
      </c>
      <c r="B29" s="2">
        <v>33035</v>
      </c>
      <c r="C29" s="2">
        <v>32629</v>
      </c>
      <c r="D29" s="2">
        <v>30948</v>
      </c>
      <c r="E29" s="2">
        <v>28016</v>
      </c>
      <c r="F29" s="2">
        <v>29240</v>
      </c>
      <c r="G29" s="1">
        <v>26961</v>
      </c>
      <c r="H29">
        <v>22410</v>
      </c>
    </row>
    <row r="30" spans="1:8" x14ac:dyDescent="0.25">
      <c r="A30" t="s">
        <v>30</v>
      </c>
      <c r="B30" s="2">
        <v>15512</v>
      </c>
      <c r="C30" s="2">
        <v>13888</v>
      </c>
      <c r="D30" s="2">
        <v>13369</v>
      </c>
      <c r="E30" s="2">
        <v>12737</v>
      </c>
      <c r="F30" s="2">
        <v>14356</v>
      </c>
      <c r="G30" s="1">
        <v>13086</v>
      </c>
      <c r="H30">
        <v>12506</v>
      </c>
    </row>
    <row r="31" spans="1:8" x14ac:dyDescent="0.25">
      <c r="A31" t="s">
        <v>31</v>
      </c>
      <c r="B31" s="2">
        <v>30596</v>
      </c>
      <c r="C31" s="2">
        <v>31083</v>
      </c>
      <c r="D31" s="2">
        <v>32824</v>
      </c>
      <c r="E31" s="2">
        <v>35119</v>
      </c>
      <c r="F31" s="2">
        <v>39405</v>
      </c>
      <c r="G31" s="1">
        <v>41048</v>
      </c>
      <c r="H31">
        <v>42163</v>
      </c>
    </row>
    <row r="32" spans="1:8" x14ac:dyDescent="0.25">
      <c r="A32" t="s">
        <v>32</v>
      </c>
      <c r="B32" s="2">
        <v>7802</v>
      </c>
      <c r="C32" s="2">
        <v>8322</v>
      </c>
      <c r="D32" s="2">
        <v>9753</v>
      </c>
      <c r="E32" s="2">
        <v>9717</v>
      </c>
      <c r="F32" s="2">
        <v>11552</v>
      </c>
      <c r="G32" s="1">
        <v>12558</v>
      </c>
      <c r="H32">
        <v>11512</v>
      </c>
    </row>
    <row r="33" spans="1:8" x14ac:dyDescent="0.25">
      <c r="A33" t="s">
        <v>33</v>
      </c>
      <c r="B33" s="2">
        <v>12728</v>
      </c>
      <c r="C33" s="2">
        <v>13650</v>
      </c>
      <c r="D33" s="2">
        <v>15056</v>
      </c>
      <c r="E33" s="2">
        <v>16616</v>
      </c>
      <c r="F33" s="2">
        <v>18611</v>
      </c>
      <c r="G33" s="1">
        <v>23976</v>
      </c>
      <c r="H33">
        <v>33092</v>
      </c>
    </row>
    <row r="34" spans="1:8" x14ac:dyDescent="0.25">
      <c r="A34" t="s">
        <v>34</v>
      </c>
      <c r="B34" s="2">
        <f>61695+5407</f>
        <v>67102</v>
      </c>
      <c r="C34" s="2">
        <f>89267+5210</f>
        <v>94477</v>
      </c>
      <c r="D34" s="2">
        <v>115954</v>
      </c>
      <c r="E34" s="2">
        <v>159497</v>
      </c>
      <c r="F34" s="2">
        <v>180478</v>
      </c>
      <c r="G34" s="1">
        <v>208255</v>
      </c>
      <c r="H34">
        <v>237905</v>
      </c>
    </row>
    <row r="35" spans="1:8" x14ac:dyDescent="0.25">
      <c r="A35" t="s">
        <v>35</v>
      </c>
      <c r="B35" s="2">
        <v>11147</v>
      </c>
      <c r="C35" s="2">
        <v>10778</v>
      </c>
      <c r="D35" s="2">
        <v>10454</v>
      </c>
      <c r="E35" s="2">
        <v>9673</v>
      </c>
      <c r="F35" s="2">
        <v>11231</v>
      </c>
      <c r="G35" s="1">
        <v>9116</v>
      </c>
      <c r="H35">
        <v>7757</v>
      </c>
    </row>
    <row r="36" spans="1:8" x14ac:dyDescent="0.25">
      <c r="A36" t="s">
        <v>36</v>
      </c>
      <c r="B36" s="2">
        <v>22976</v>
      </c>
      <c r="C36" s="2">
        <v>23011</v>
      </c>
      <c r="D36" s="2">
        <v>22278</v>
      </c>
      <c r="E36" s="2">
        <v>22193</v>
      </c>
      <c r="F36" s="2">
        <v>23590</v>
      </c>
      <c r="G36" s="1">
        <v>23311</v>
      </c>
      <c r="H36">
        <v>21517</v>
      </c>
    </row>
    <row r="37" spans="1:8" x14ac:dyDescent="0.25">
      <c r="A37" t="s">
        <v>37</v>
      </c>
      <c r="B37" s="2">
        <v>19246</v>
      </c>
      <c r="C37" s="2">
        <v>17521</v>
      </c>
      <c r="D37" s="2">
        <v>17291</v>
      </c>
      <c r="E37" s="2">
        <v>16213</v>
      </c>
      <c r="F37" s="2">
        <v>17806</v>
      </c>
      <c r="G37" s="1">
        <v>16908</v>
      </c>
      <c r="H37">
        <v>17397</v>
      </c>
    </row>
    <row r="38" spans="1:8" x14ac:dyDescent="0.25">
      <c r="A38" t="s">
        <v>38</v>
      </c>
      <c r="B38" s="2">
        <v>24267</v>
      </c>
      <c r="C38" s="2">
        <v>23587</v>
      </c>
      <c r="D38" s="2">
        <v>22918</v>
      </c>
      <c r="E38" s="2">
        <v>24117</v>
      </c>
      <c r="F38" s="2">
        <v>28523</v>
      </c>
      <c r="G38" s="1">
        <v>30494</v>
      </c>
      <c r="H38">
        <v>30468</v>
      </c>
    </row>
    <row r="39" spans="1:8" x14ac:dyDescent="0.25">
      <c r="A39" t="s">
        <v>39</v>
      </c>
      <c r="B39" s="2">
        <v>25189</v>
      </c>
      <c r="C39" s="2">
        <v>25910</v>
      </c>
      <c r="D39" s="2">
        <v>25386</v>
      </c>
      <c r="E39" s="2">
        <v>26063</v>
      </c>
      <c r="F39" s="2">
        <v>27699</v>
      </c>
      <c r="G39" s="1">
        <v>26212</v>
      </c>
      <c r="H39">
        <v>23393</v>
      </c>
    </row>
    <row r="40" spans="1:8" x14ac:dyDescent="0.25">
      <c r="A40" t="s">
        <v>40</v>
      </c>
      <c r="B40" s="2">
        <v>18117</v>
      </c>
      <c r="C40" s="2">
        <v>17030</v>
      </c>
      <c r="D40" s="2">
        <v>18436</v>
      </c>
      <c r="E40" s="2">
        <v>17655</v>
      </c>
      <c r="F40" s="2">
        <v>19220</v>
      </c>
      <c r="G40" s="1">
        <v>17173</v>
      </c>
      <c r="H40">
        <v>16115</v>
      </c>
    </row>
    <row r="41" spans="1:8" x14ac:dyDescent="0.25">
      <c r="A41" t="s">
        <v>41</v>
      </c>
      <c r="B41" s="2">
        <v>24208</v>
      </c>
      <c r="C41" s="2">
        <v>25434</v>
      </c>
      <c r="D41" s="2">
        <v>27151</v>
      </c>
      <c r="E41" s="2">
        <v>26432</v>
      </c>
      <c r="F41" s="2">
        <v>25877</v>
      </c>
      <c r="G41" s="1">
        <v>23828</v>
      </c>
      <c r="H41">
        <v>22275</v>
      </c>
    </row>
    <row r="42" spans="1:8" x14ac:dyDescent="0.25">
      <c r="A42" t="s">
        <v>42</v>
      </c>
      <c r="B42" s="2">
        <v>16367</v>
      </c>
      <c r="C42" s="2">
        <v>16527</v>
      </c>
      <c r="D42" s="2">
        <v>16216</v>
      </c>
      <c r="E42" s="2">
        <v>13613</v>
      </c>
      <c r="F42" s="2">
        <v>14873</v>
      </c>
      <c r="G42" s="1">
        <v>13353</v>
      </c>
      <c r="H42">
        <v>11862</v>
      </c>
    </row>
    <row r="43" spans="1:8" x14ac:dyDescent="0.25">
      <c r="A43" t="s">
        <v>43</v>
      </c>
      <c r="B43" s="2">
        <v>6476</v>
      </c>
      <c r="C43" s="2">
        <v>6224</v>
      </c>
      <c r="D43" s="2">
        <v>6212</v>
      </c>
      <c r="E43" s="2">
        <v>5555</v>
      </c>
      <c r="F43" s="2">
        <v>6432</v>
      </c>
      <c r="G43" s="1">
        <v>5318</v>
      </c>
      <c r="H43">
        <v>4794</v>
      </c>
    </row>
    <row r="44" spans="1:8" x14ac:dyDescent="0.25">
      <c r="A44" t="s">
        <v>44</v>
      </c>
      <c r="B44" s="2">
        <v>13398</v>
      </c>
      <c r="C44" s="2">
        <v>13908</v>
      </c>
      <c r="D44" s="2">
        <v>13482</v>
      </c>
      <c r="E44" s="2">
        <v>12039</v>
      </c>
      <c r="F44" s="2">
        <v>12421</v>
      </c>
      <c r="G44" s="1">
        <v>11030</v>
      </c>
      <c r="H44">
        <v>11511</v>
      </c>
    </row>
    <row r="45" spans="1:8" x14ac:dyDescent="0.25">
      <c r="A45" t="s">
        <v>45</v>
      </c>
      <c r="B45" s="2">
        <v>15039</v>
      </c>
      <c r="C45" s="2">
        <v>15036</v>
      </c>
      <c r="D45" s="2">
        <v>14955</v>
      </c>
      <c r="E45" s="2">
        <v>13589</v>
      </c>
      <c r="F45" s="2">
        <v>15082</v>
      </c>
      <c r="G45" s="1">
        <v>12348</v>
      </c>
      <c r="H45">
        <v>9233</v>
      </c>
    </row>
    <row r="46" spans="1:8" x14ac:dyDescent="0.25">
      <c r="A46" t="s">
        <v>46</v>
      </c>
      <c r="B46" s="2">
        <v>18590</v>
      </c>
      <c r="C46" s="2">
        <v>17755</v>
      </c>
      <c r="D46" s="2">
        <v>17677</v>
      </c>
      <c r="E46" s="2">
        <v>17914</v>
      </c>
      <c r="F46" s="2">
        <v>18621</v>
      </c>
      <c r="G46" s="1">
        <v>19667</v>
      </c>
      <c r="H46">
        <v>21493</v>
      </c>
    </row>
    <row r="47" spans="1:8" x14ac:dyDescent="0.25">
      <c r="A47" t="s">
        <v>47</v>
      </c>
      <c r="B47" s="2">
        <v>10589</v>
      </c>
      <c r="C47" s="2">
        <v>13191</v>
      </c>
      <c r="D47" s="2">
        <v>12230</v>
      </c>
      <c r="E47" s="2">
        <v>12209</v>
      </c>
      <c r="F47" s="2">
        <v>12998</v>
      </c>
      <c r="G47" s="1">
        <v>12278</v>
      </c>
      <c r="H47">
        <v>10765</v>
      </c>
    </row>
    <row r="48" spans="1:8" x14ac:dyDescent="0.25">
      <c r="A48" t="s">
        <v>48</v>
      </c>
      <c r="B48" s="2">
        <v>74302</v>
      </c>
      <c r="C48" s="2">
        <v>94187</v>
      </c>
      <c r="D48" s="2">
        <v>112926</v>
      </c>
      <c r="E48" s="2">
        <v>155902</v>
      </c>
      <c r="F48" s="2">
        <v>178468</v>
      </c>
      <c r="G48" s="1">
        <v>223007</v>
      </c>
      <c r="H48">
        <v>250523</v>
      </c>
    </row>
    <row r="49" spans="1:8" x14ac:dyDescent="0.25">
      <c r="A49" t="s">
        <v>49</v>
      </c>
      <c r="B49" s="2">
        <v>7368</v>
      </c>
      <c r="C49" s="2">
        <v>8704</v>
      </c>
      <c r="D49" s="2">
        <v>9075</v>
      </c>
      <c r="E49" s="2">
        <v>10486</v>
      </c>
      <c r="F49" s="2">
        <v>11235</v>
      </c>
      <c r="G49" s="1">
        <v>11655</v>
      </c>
      <c r="H49">
        <v>9572</v>
      </c>
    </row>
    <row r="50" spans="1:8" x14ac:dyDescent="0.25">
      <c r="A50" t="s">
        <v>50</v>
      </c>
      <c r="B50" s="2">
        <v>21971</v>
      </c>
      <c r="C50" s="2">
        <v>21105</v>
      </c>
      <c r="D50" s="2">
        <v>21494</v>
      </c>
      <c r="E50" s="2">
        <v>23406</v>
      </c>
      <c r="F50" s="2">
        <v>24461</v>
      </c>
      <c r="G50" s="1">
        <v>25047</v>
      </c>
      <c r="H50">
        <v>21844</v>
      </c>
    </row>
    <row r="51" spans="1:8" x14ac:dyDescent="0.25">
      <c r="A51" t="s">
        <v>51</v>
      </c>
      <c r="B51" s="2">
        <v>15402</v>
      </c>
      <c r="C51" s="2">
        <v>17569</v>
      </c>
      <c r="D51" s="2">
        <v>23593</v>
      </c>
      <c r="E51" s="2">
        <v>26776</v>
      </c>
      <c r="F51" s="2">
        <v>28726</v>
      </c>
      <c r="G51" s="1">
        <v>28818</v>
      </c>
      <c r="H51">
        <v>28049</v>
      </c>
    </row>
    <row r="52" spans="1:8" x14ac:dyDescent="0.25">
      <c r="A52" t="s">
        <v>52</v>
      </c>
      <c r="B52" s="2">
        <v>4455</v>
      </c>
      <c r="C52" s="2">
        <v>6033</v>
      </c>
      <c r="D52" s="2">
        <v>5707</v>
      </c>
      <c r="E52" s="2">
        <v>5258</v>
      </c>
      <c r="F52" s="2">
        <v>5849</v>
      </c>
      <c r="G52" s="1">
        <v>6078</v>
      </c>
      <c r="H52">
        <v>6269</v>
      </c>
    </row>
    <row r="53" spans="1:8" x14ac:dyDescent="0.25">
      <c r="A53" t="s">
        <v>53</v>
      </c>
      <c r="B53" s="2">
        <v>26304</v>
      </c>
      <c r="C53" s="2">
        <v>25908</v>
      </c>
      <c r="D53" s="2">
        <v>25786</v>
      </c>
      <c r="E53" s="2">
        <v>25422</v>
      </c>
      <c r="F53" s="2">
        <v>27214</v>
      </c>
      <c r="G53" s="1">
        <v>25624</v>
      </c>
      <c r="H53">
        <v>23829</v>
      </c>
    </row>
    <row r="54" spans="1:8" x14ac:dyDescent="0.25">
      <c r="A54" t="s">
        <v>54</v>
      </c>
      <c r="B54" s="2">
        <v>10838</v>
      </c>
      <c r="C54" s="2">
        <v>13612</v>
      </c>
      <c r="D54" s="2">
        <v>16275</v>
      </c>
      <c r="E54" s="2">
        <v>17805</v>
      </c>
      <c r="F54" s="2">
        <v>19838</v>
      </c>
      <c r="G54" s="1">
        <v>23182</v>
      </c>
      <c r="H54">
        <v>23757</v>
      </c>
    </row>
    <row r="55" spans="1:8" x14ac:dyDescent="0.25">
      <c r="A55" t="s">
        <v>55</v>
      </c>
      <c r="B55" s="2">
        <v>19163</v>
      </c>
      <c r="C55" s="2">
        <v>21046</v>
      </c>
      <c r="D55" s="2">
        <v>25133</v>
      </c>
      <c r="E55" s="2">
        <v>29019</v>
      </c>
      <c r="F55" s="2">
        <v>30781</v>
      </c>
      <c r="G55" s="1">
        <v>32024</v>
      </c>
      <c r="H55">
        <v>33662</v>
      </c>
    </row>
    <row r="56" spans="1:8" x14ac:dyDescent="0.25">
      <c r="A56" t="s">
        <v>56</v>
      </c>
      <c r="B56" s="2">
        <v>17760</v>
      </c>
      <c r="C56" s="2">
        <v>16356</v>
      </c>
      <c r="D56" s="2">
        <v>18350</v>
      </c>
      <c r="E56" s="2">
        <v>19901</v>
      </c>
      <c r="F56" s="2">
        <v>20424</v>
      </c>
      <c r="G56" s="1">
        <v>20390</v>
      </c>
      <c r="H56">
        <v>18085</v>
      </c>
    </row>
    <row r="57" spans="1:8" x14ac:dyDescent="0.25">
      <c r="A57" t="s">
        <v>57</v>
      </c>
      <c r="B57" s="2">
        <v>12881</v>
      </c>
      <c r="C57" s="2">
        <v>14559</v>
      </c>
      <c r="D57" s="2">
        <v>14922</v>
      </c>
      <c r="E57" s="2">
        <v>13872</v>
      </c>
      <c r="F57" s="2">
        <v>14904</v>
      </c>
      <c r="G57" s="1">
        <v>13599</v>
      </c>
      <c r="H57">
        <v>12197</v>
      </c>
    </row>
    <row r="58" spans="1:8" x14ac:dyDescent="0.25">
      <c r="A58" t="s">
        <v>58</v>
      </c>
      <c r="B58" s="2">
        <v>36333</v>
      </c>
      <c r="C58" s="2">
        <v>39357</v>
      </c>
      <c r="D58" s="2">
        <v>43824</v>
      </c>
      <c r="E58" s="2">
        <v>51059</v>
      </c>
      <c r="F58" s="2">
        <v>54115</v>
      </c>
      <c r="G58" s="1">
        <v>60128</v>
      </c>
      <c r="H58">
        <v>60655</v>
      </c>
    </row>
    <row r="59" spans="1:8" x14ac:dyDescent="0.25">
      <c r="A59" t="s">
        <v>59</v>
      </c>
      <c r="B59" s="2">
        <v>17281</v>
      </c>
      <c r="C59" s="2">
        <v>18820</v>
      </c>
      <c r="D59" s="2">
        <v>17402</v>
      </c>
      <c r="E59" s="2">
        <v>17549</v>
      </c>
      <c r="F59" s="2">
        <v>19140</v>
      </c>
      <c r="G59" s="1">
        <v>20520</v>
      </c>
      <c r="H59">
        <v>21036</v>
      </c>
    </row>
    <row r="60" spans="1:8" x14ac:dyDescent="0.25">
      <c r="A60" t="s">
        <v>60</v>
      </c>
      <c r="B60" s="2">
        <v>18763</v>
      </c>
      <c r="C60" s="2">
        <v>16872</v>
      </c>
      <c r="D60" s="2">
        <v>17375</v>
      </c>
      <c r="E60" s="2">
        <v>15574</v>
      </c>
      <c r="F60" s="2">
        <v>16030</v>
      </c>
      <c r="G60" s="1">
        <v>17768</v>
      </c>
      <c r="H60">
        <v>16859</v>
      </c>
    </row>
    <row r="61" spans="1:8" x14ac:dyDescent="0.25">
      <c r="A61" t="s">
        <v>61</v>
      </c>
      <c r="B61" s="2">
        <v>42703</v>
      </c>
      <c r="C61" s="2">
        <v>40456</v>
      </c>
      <c r="D61" s="2">
        <v>35403</v>
      </c>
      <c r="E61" s="2">
        <v>34016</v>
      </c>
      <c r="F61" s="2">
        <v>40357</v>
      </c>
      <c r="G61" s="1">
        <v>40368</v>
      </c>
      <c r="H61">
        <v>41699</v>
      </c>
    </row>
    <row r="62" spans="1:8" x14ac:dyDescent="0.25">
      <c r="A62" t="s">
        <v>62</v>
      </c>
      <c r="B62" s="2">
        <v>7491</v>
      </c>
      <c r="C62" s="2">
        <v>6131</v>
      </c>
      <c r="D62" s="2">
        <v>6077</v>
      </c>
      <c r="E62" s="2">
        <v>6127</v>
      </c>
      <c r="F62" s="2">
        <v>6393</v>
      </c>
      <c r="G62" s="1">
        <v>6080</v>
      </c>
      <c r="H62">
        <v>5160</v>
      </c>
    </row>
    <row r="63" spans="1:8" x14ac:dyDescent="0.25">
      <c r="A63" t="s">
        <v>63</v>
      </c>
      <c r="B63" s="2">
        <v>18585</v>
      </c>
      <c r="C63" s="2">
        <v>20716</v>
      </c>
      <c r="D63" s="2">
        <v>22060</v>
      </c>
      <c r="E63" s="2">
        <v>21377</v>
      </c>
      <c r="F63" s="2">
        <v>24275</v>
      </c>
      <c r="G63" s="1">
        <v>24513</v>
      </c>
      <c r="H63">
        <v>23316</v>
      </c>
    </row>
    <row r="64" spans="1:8" x14ac:dyDescent="0.25">
      <c r="A64" t="s">
        <v>64</v>
      </c>
      <c r="B64" s="2">
        <v>36017</v>
      </c>
      <c r="C64" s="2">
        <v>33672</v>
      </c>
      <c r="D64" s="2">
        <v>32265</v>
      </c>
      <c r="E64" s="2">
        <v>30882</v>
      </c>
      <c r="F64" s="2">
        <v>33346</v>
      </c>
      <c r="G64" s="1">
        <v>44186</v>
      </c>
      <c r="H64">
        <v>55645</v>
      </c>
    </row>
    <row r="65" spans="1:8" x14ac:dyDescent="0.25">
      <c r="A65" t="s">
        <v>65</v>
      </c>
      <c r="B65" s="2">
        <v>5706</v>
      </c>
      <c r="C65" s="2">
        <v>4800</v>
      </c>
      <c r="D65" s="2">
        <v>4491</v>
      </c>
      <c r="E65" s="2">
        <v>4037</v>
      </c>
      <c r="F65" s="2">
        <v>4093</v>
      </c>
      <c r="G65" s="1">
        <v>3948</v>
      </c>
      <c r="H65">
        <v>3454</v>
      </c>
    </row>
    <row r="66" spans="1:8" x14ac:dyDescent="0.25">
      <c r="A66" t="s">
        <v>66</v>
      </c>
      <c r="B66" s="2">
        <v>9587</v>
      </c>
      <c r="C66" s="2">
        <v>11458</v>
      </c>
      <c r="D66" s="2">
        <v>13285</v>
      </c>
      <c r="E66" s="2">
        <v>13603</v>
      </c>
      <c r="F66" s="2">
        <v>15242</v>
      </c>
      <c r="G66" s="1">
        <v>15727</v>
      </c>
      <c r="H66">
        <v>14304</v>
      </c>
    </row>
    <row r="67" spans="1:8" x14ac:dyDescent="0.25">
      <c r="A67" t="s">
        <v>67</v>
      </c>
      <c r="B67" s="2">
        <v>28286</v>
      </c>
      <c r="C67" s="2">
        <v>29946</v>
      </c>
      <c r="D67" s="2">
        <v>28393</v>
      </c>
      <c r="E67" s="2">
        <v>29086</v>
      </c>
      <c r="F67" s="2">
        <v>30978</v>
      </c>
      <c r="G67" s="1">
        <v>29056</v>
      </c>
      <c r="H67">
        <v>26957</v>
      </c>
    </row>
    <row r="68" spans="1:8" x14ac:dyDescent="0.25">
      <c r="A68" t="s">
        <v>68</v>
      </c>
      <c r="B68" s="2">
        <v>13353</v>
      </c>
      <c r="C68" s="2">
        <v>15854</v>
      </c>
      <c r="D68" s="2">
        <v>17617</v>
      </c>
      <c r="E68" s="2">
        <v>18079</v>
      </c>
      <c r="F68" s="2">
        <v>18883</v>
      </c>
      <c r="G68" s="1">
        <v>17566</v>
      </c>
      <c r="H68">
        <v>14661</v>
      </c>
    </row>
    <row r="69" spans="1:8" x14ac:dyDescent="0.25">
      <c r="A69" t="s">
        <v>69</v>
      </c>
      <c r="B69" s="2">
        <v>8800</v>
      </c>
      <c r="C69" s="2">
        <v>8815</v>
      </c>
      <c r="D69" s="2">
        <v>7765</v>
      </c>
      <c r="E69" s="2">
        <v>7147</v>
      </c>
      <c r="F69" s="2">
        <v>7535</v>
      </c>
      <c r="G69" s="1">
        <v>6462</v>
      </c>
      <c r="H69">
        <v>5273</v>
      </c>
    </row>
    <row r="70" spans="1:8" x14ac:dyDescent="0.25">
      <c r="A70" t="s">
        <v>70</v>
      </c>
      <c r="B70" s="2">
        <v>5366</v>
      </c>
      <c r="C70" s="2">
        <v>5087</v>
      </c>
      <c r="D70" s="2">
        <v>5205</v>
      </c>
      <c r="E70" s="2">
        <v>5615</v>
      </c>
      <c r="F70" s="2">
        <v>6213</v>
      </c>
      <c r="G70" s="1">
        <v>5093</v>
      </c>
      <c r="H70">
        <v>4431</v>
      </c>
    </row>
    <row r="71" spans="1:8" x14ac:dyDescent="0.25">
      <c r="A71" t="s">
        <v>71</v>
      </c>
      <c r="B71" s="2">
        <v>11357</v>
      </c>
      <c r="C71" s="2">
        <v>14116</v>
      </c>
      <c r="D71" s="2">
        <v>14243</v>
      </c>
      <c r="E71" s="2">
        <v>15686</v>
      </c>
      <c r="F71" s="2">
        <v>15473</v>
      </c>
      <c r="G71" s="1">
        <v>14074</v>
      </c>
      <c r="H71">
        <v>12160</v>
      </c>
    </row>
    <row r="72" spans="1:8" x14ac:dyDescent="0.25">
      <c r="A72" t="s">
        <v>72</v>
      </c>
      <c r="B72" s="2">
        <v>16890</v>
      </c>
      <c r="C72" s="2">
        <v>20023</v>
      </c>
      <c r="D72" s="2">
        <v>22231</v>
      </c>
      <c r="E72" s="2">
        <v>23759</v>
      </c>
      <c r="F72" s="2">
        <v>26250</v>
      </c>
      <c r="G72" s="1">
        <v>29869</v>
      </c>
      <c r="H72">
        <v>29236</v>
      </c>
    </row>
    <row r="73" spans="1:8" x14ac:dyDescent="0.25">
      <c r="A73" t="s">
        <v>73</v>
      </c>
      <c r="B73" s="2">
        <v>14318</v>
      </c>
      <c r="C73" s="2">
        <v>15410</v>
      </c>
      <c r="D73" s="2">
        <v>13812</v>
      </c>
      <c r="E73" s="2">
        <v>13871</v>
      </c>
      <c r="F73" s="2">
        <v>16353</v>
      </c>
      <c r="G73" s="1">
        <v>16041</v>
      </c>
      <c r="H73">
        <v>15863</v>
      </c>
    </row>
    <row r="74" spans="1:8" x14ac:dyDescent="0.25">
      <c r="A74" t="s">
        <v>74</v>
      </c>
      <c r="B74" s="2">
        <v>22738</v>
      </c>
      <c r="C74" s="2">
        <v>22860</v>
      </c>
      <c r="D74" s="2">
        <v>24624</v>
      </c>
      <c r="E74" s="2">
        <v>24477</v>
      </c>
      <c r="F74" s="2">
        <v>27795</v>
      </c>
      <c r="G74" s="1">
        <v>31665</v>
      </c>
      <c r="H74">
        <v>39133</v>
      </c>
    </row>
    <row r="75" spans="1:8" x14ac:dyDescent="0.25">
      <c r="A75" t="s">
        <v>75</v>
      </c>
      <c r="B75" s="2">
        <v>25029</v>
      </c>
      <c r="C75" s="2">
        <v>25466</v>
      </c>
      <c r="D75" s="2">
        <v>25621</v>
      </c>
      <c r="E75" s="2">
        <v>28191</v>
      </c>
      <c r="F75" s="2">
        <v>29046</v>
      </c>
      <c r="G75" s="1">
        <v>27024</v>
      </c>
      <c r="H75">
        <v>27335</v>
      </c>
    </row>
    <row r="76" spans="1:8" x14ac:dyDescent="0.25">
      <c r="A76" t="s">
        <v>76</v>
      </c>
      <c r="B76" s="2">
        <v>33543</v>
      </c>
      <c r="C76" s="2">
        <v>33199</v>
      </c>
      <c r="D76" s="2">
        <v>33059</v>
      </c>
      <c r="E76" s="2">
        <v>32286</v>
      </c>
      <c r="F76" s="2">
        <v>33604</v>
      </c>
      <c r="G76" s="1">
        <v>40696</v>
      </c>
      <c r="H76">
        <v>52368</v>
      </c>
    </row>
    <row r="77" spans="1:8" x14ac:dyDescent="0.25">
      <c r="A77" t="s">
        <v>77</v>
      </c>
      <c r="B77" s="2">
        <v>11077</v>
      </c>
      <c r="C77" s="2">
        <v>12947</v>
      </c>
      <c r="D77" s="2">
        <v>13411</v>
      </c>
      <c r="E77" s="2">
        <v>14080</v>
      </c>
      <c r="F77" s="2">
        <v>15966</v>
      </c>
      <c r="G77" s="1">
        <v>17362</v>
      </c>
      <c r="H77">
        <v>15413</v>
      </c>
    </row>
    <row r="78" spans="1:8" x14ac:dyDescent="0.25">
      <c r="A78" t="s">
        <v>78</v>
      </c>
      <c r="B78" s="2">
        <v>3326</v>
      </c>
      <c r="C78" s="2">
        <v>4202</v>
      </c>
      <c r="D78" s="2">
        <v>3632</v>
      </c>
      <c r="E78" s="2">
        <v>4047</v>
      </c>
      <c r="F78" s="2">
        <v>5038</v>
      </c>
      <c r="G78" s="1">
        <v>5685</v>
      </c>
      <c r="H78">
        <v>5915</v>
      </c>
    </row>
    <row r="79" spans="1:8" x14ac:dyDescent="0.25">
      <c r="A79" t="s">
        <v>79</v>
      </c>
      <c r="B79" s="2">
        <v>22021</v>
      </c>
      <c r="C79" s="2">
        <v>22296</v>
      </c>
      <c r="D79" s="2">
        <v>22384</v>
      </c>
      <c r="E79" s="2">
        <v>20480</v>
      </c>
      <c r="F79" s="2">
        <v>23291</v>
      </c>
      <c r="G79" s="1">
        <v>23375</v>
      </c>
      <c r="H79">
        <v>24251</v>
      </c>
    </row>
    <row r="80" spans="1:8" x14ac:dyDescent="0.25">
      <c r="A80" t="s">
        <v>80</v>
      </c>
      <c r="B80" s="2">
        <v>153557</v>
      </c>
      <c r="C80" s="2">
        <v>191439</v>
      </c>
      <c r="D80" s="2">
        <v>223216</v>
      </c>
      <c r="E80" s="2">
        <v>306482</v>
      </c>
      <c r="F80" s="2">
        <v>358250</v>
      </c>
      <c r="G80" s="1">
        <v>482393</v>
      </c>
      <c r="H80">
        <v>627019</v>
      </c>
    </row>
    <row r="81" spans="1:8" x14ac:dyDescent="0.25">
      <c r="A81" t="s">
        <v>81</v>
      </c>
      <c r="B81" s="2">
        <v>19026</v>
      </c>
      <c r="C81" s="2">
        <v>18548</v>
      </c>
      <c r="D81" s="2">
        <v>17134</v>
      </c>
      <c r="E81" s="2">
        <v>15473</v>
      </c>
      <c r="F81" s="2">
        <v>16148</v>
      </c>
      <c r="G81" s="1">
        <v>14098</v>
      </c>
      <c r="H81">
        <v>12059</v>
      </c>
    </row>
    <row r="82" spans="1:8" x14ac:dyDescent="0.25">
      <c r="A82" t="s">
        <v>82</v>
      </c>
      <c r="B82" s="2">
        <v>15224</v>
      </c>
      <c r="C82" s="2">
        <v>14860</v>
      </c>
      <c r="D82" s="2">
        <v>14664</v>
      </c>
      <c r="E82" s="2">
        <v>13278</v>
      </c>
      <c r="F82" s="2">
        <v>13549</v>
      </c>
      <c r="G82" s="1">
        <v>9175</v>
      </c>
      <c r="H82">
        <v>7851</v>
      </c>
    </row>
    <row r="83" spans="1:8" x14ac:dyDescent="0.25">
      <c r="A83" t="s">
        <v>83</v>
      </c>
      <c r="B83" s="2">
        <v>24935</v>
      </c>
      <c r="C83" s="2">
        <v>28120</v>
      </c>
      <c r="D83" s="2">
        <v>36259</v>
      </c>
      <c r="E83" s="2">
        <v>51087</v>
      </c>
      <c r="F83" s="2">
        <v>69085</v>
      </c>
      <c r="G83" s="1">
        <v>95063</v>
      </c>
      <c r="H83">
        <v>114139</v>
      </c>
    </row>
    <row r="84" spans="1:8" x14ac:dyDescent="0.25">
      <c r="A84" t="s">
        <v>84</v>
      </c>
      <c r="B84" s="2">
        <v>26072</v>
      </c>
      <c r="C84" s="2">
        <v>25621</v>
      </c>
      <c r="D84" s="2">
        <v>27708</v>
      </c>
      <c r="E84" s="2">
        <v>28622</v>
      </c>
      <c r="F84" s="2">
        <v>32719</v>
      </c>
      <c r="G84" s="1">
        <v>33533</v>
      </c>
      <c r="H84">
        <v>36217</v>
      </c>
    </row>
    <row r="85" spans="1:8" x14ac:dyDescent="0.25">
      <c r="A85" t="s">
        <v>85</v>
      </c>
      <c r="B85" s="2">
        <v>29273</v>
      </c>
      <c r="C85" s="2">
        <v>29459</v>
      </c>
      <c r="D85" s="2">
        <v>30258</v>
      </c>
      <c r="E85" s="2">
        <v>27498</v>
      </c>
      <c r="F85" s="2">
        <v>28036</v>
      </c>
      <c r="G85" s="1">
        <v>29782</v>
      </c>
      <c r="H85">
        <v>28564</v>
      </c>
    </row>
    <row r="86" spans="1:8" x14ac:dyDescent="0.25">
      <c r="A86" t="s">
        <v>86</v>
      </c>
      <c r="B86" s="2">
        <v>6004</v>
      </c>
      <c r="C86" s="2">
        <v>5874</v>
      </c>
      <c r="D86" s="2">
        <v>5996</v>
      </c>
      <c r="E86" s="2">
        <v>5629</v>
      </c>
      <c r="F86" s="2">
        <v>6113</v>
      </c>
      <c r="G86" s="1">
        <v>5520</v>
      </c>
      <c r="H86">
        <v>4914</v>
      </c>
    </row>
    <row r="87" spans="1:8" x14ac:dyDescent="0.25">
      <c r="A87" t="s">
        <v>87</v>
      </c>
      <c r="B87" s="2">
        <v>5851</v>
      </c>
      <c r="C87" s="2">
        <v>7201</v>
      </c>
      <c r="D87" s="2">
        <v>10120</v>
      </c>
      <c r="E87" s="2">
        <v>12678</v>
      </c>
      <c r="F87" s="2">
        <v>14128</v>
      </c>
      <c r="G87" s="1">
        <v>15886</v>
      </c>
      <c r="H87">
        <v>15082</v>
      </c>
    </row>
    <row r="88" spans="1:8" x14ac:dyDescent="0.25">
      <c r="A88" t="s">
        <v>88</v>
      </c>
      <c r="B88" s="2">
        <v>12894</v>
      </c>
      <c r="C88" s="2">
        <v>11414</v>
      </c>
      <c r="D88" s="2">
        <v>11615</v>
      </c>
      <c r="E88" s="2">
        <v>11371</v>
      </c>
      <c r="F88" s="2">
        <v>9030</v>
      </c>
      <c r="G88" s="1">
        <v>8670</v>
      </c>
      <c r="H88">
        <v>8498</v>
      </c>
    </row>
    <row r="89" spans="1:8" x14ac:dyDescent="0.25">
      <c r="A89" t="s">
        <v>89</v>
      </c>
      <c r="B89" s="2">
        <v>3126</v>
      </c>
      <c r="C89" s="2">
        <v>2784</v>
      </c>
      <c r="D89" s="2">
        <v>2624</v>
      </c>
      <c r="E89" s="2">
        <v>3516</v>
      </c>
      <c r="F89" s="2">
        <v>4090</v>
      </c>
      <c r="G89" s="1">
        <v>3985</v>
      </c>
      <c r="H89">
        <v>3671</v>
      </c>
    </row>
    <row r="90" spans="1:8" x14ac:dyDescent="0.25">
      <c r="A90" t="s">
        <v>90</v>
      </c>
      <c r="B90" s="2">
        <v>16410</v>
      </c>
      <c r="C90" s="2">
        <v>16534</v>
      </c>
      <c r="D90" s="2">
        <v>17306</v>
      </c>
      <c r="E90" s="2">
        <v>20209</v>
      </c>
      <c r="F90" s="2">
        <v>19764</v>
      </c>
      <c r="G90" s="1">
        <v>22271</v>
      </c>
      <c r="H90">
        <v>23102</v>
      </c>
    </row>
    <row r="91" spans="1:8" x14ac:dyDescent="0.25">
      <c r="A91" t="s">
        <v>91</v>
      </c>
      <c r="B91" s="2">
        <v>22604</v>
      </c>
      <c r="C91" s="2">
        <v>28968</v>
      </c>
      <c r="D91" s="2">
        <v>34052</v>
      </c>
      <c r="E91" s="2">
        <v>45805</v>
      </c>
      <c r="F91" s="2">
        <v>51631</v>
      </c>
      <c r="G91" s="1">
        <v>59971</v>
      </c>
      <c r="H91">
        <v>64832</v>
      </c>
    </row>
    <row r="92" spans="1:8" x14ac:dyDescent="0.25">
      <c r="A92" t="s">
        <v>92</v>
      </c>
      <c r="B92" s="2">
        <v>12936</v>
      </c>
      <c r="C92" s="2">
        <v>12062</v>
      </c>
      <c r="D92" s="2">
        <v>12877</v>
      </c>
      <c r="E92" s="2">
        <v>12134</v>
      </c>
      <c r="F92" s="2">
        <v>13638</v>
      </c>
      <c r="G92" s="1">
        <v>13864</v>
      </c>
      <c r="H92">
        <v>11908</v>
      </c>
    </row>
    <row r="93" spans="1:8" x14ac:dyDescent="0.25">
      <c r="A93" t="s">
        <v>93</v>
      </c>
      <c r="B93" s="2">
        <v>32546</v>
      </c>
      <c r="C93" s="2">
        <v>31929</v>
      </c>
      <c r="D93" s="2">
        <v>31053</v>
      </c>
      <c r="E93" s="2">
        <v>29262</v>
      </c>
      <c r="F93" s="2">
        <v>29498</v>
      </c>
      <c r="G93" s="1">
        <v>27962</v>
      </c>
      <c r="H93">
        <v>24227</v>
      </c>
    </row>
    <row r="94" spans="1:8" x14ac:dyDescent="0.25">
      <c r="A94" t="s">
        <v>94</v>
      </c>
      <c r="B94" s="2">
        <v>14157</v>
      </c>
      <c r="C94" s="2">
        <v>15420</v>
      </c>
      <c r="D94" s="2">
        <v>15701</v>
      </c>
      <c r="E94" s="2">
        <v>15543</v>
      </c>
      <c r="F94" s="2">
        <v>15983</v>
      </c>
      <c r="G94" s="1">
        <v>16204</v>
      </c>
      <c r="H94">
        <v>15577</v>
      </c>
    </row>
    <row r="95" spans="1:8" x14ac:dyDescent="0.25">
      <c r="A95" t="s">
        <v>95</v>
      </c>
      <c r="B95" s="2">
        <v>26429</v>
      </c>
      <c r="C95" s="2">
        <v>24213</v>
      </c>
      <c r="D95" s="2">
        <v>23409</v>
      </c>
      <c r="E95" s="2">
        <v>22845</v>
      </c>
      <c r="F95" s="2">
        <v>25220</v>
      </c>
      <c r="G95" s="1">
        <v>24307</v>
      </c>
      <c r="H95">
        <v>25267</v>
      </c>
    </row>
    <row r="96" spans="1:8" x14ac:dyDescent="0.25">
      <c r="A96" t="s">
        <v>96</v>
      </c>
      <c r="B96" s="2">
        <v>27078</v>
      </c>
      <c r="C96" s="2">
        <v>25394</v>
      </c>
      <c r="D96" s="2">
        <v>26241</v>
      </c>
      <c r="E96" s="2">
        <v>23929</v>
      </c>
      <c r="F96" s="2">
        <v>25267</v>
      </c>
      <c r="G96" s="1">
        <v>26318</v>
      </c>
      <c r="H96">
        <v>27668</v>
      </c>
    </row>
    <row r="98" spans="3:3" x14ac:dyDescent="0.25">
      <c r="C98" s="3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EFC02-310D-45AC-825C-F76A8E9D335E}">
  <dimension ref="A1:W8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2" sqref="G2"/>
    </sheetView>
  </sheetViews>
  <sheetFormatPr defaultRowHeight="15" x14ac:dyDescent="0.25"/>
  <cols>
    <col min="1" max="1" width="51" bestFit="1" customWidth="1"/>
    <col min="2" max="2" width="5.7109375" bestFit="1" customWidth="1"/>
    <col min="3" max="3" width="15.28515625" bestFit="1" customWidth="1"/>
    <col min="4" max="4" width="15.7109375" style="2" bestFit="1" customWidth="1"/>
    <col min="5" max="5" width="9.140625" style="2" bestFit="1" customWidth="1"/>
    <col min="6" max="6" width="7.42578125" bestFit="1" customWidth="1"/>
    <col min="7" max="7" width="15.7109375" style="2" bestFit="1" customWidth="1"/>
    <col min="8" max="8" width="9.140625" style="2" bestFit="1" customWidth="1"/>
    <col min="9" max="9" width="7.42578125" bestFit="1" customWidth="1"/>
    <col min="10" max="10" width="15.7109375" style="2" bestFit="1" customWidth="1"/>
    <col min="11" max="11" width="9.140625" style="2" bestFit="1" customWidth="1"/>
    <col min="12" max="12" width="7.42578125" bestFit="1" customWidth="1"/>
    <col min="13" max="13" width="15.7109375" style="2" bestFit="1" customWidth="1"/>
    <col min="14" max="14" width="9.140625" style="2" bestFit="1" customWidth="1"/>
    <col min="15" max="15" width="7.42578125" bestFit="1" customWidth="1"/>
    <col min="16" max="16" width="15.7109375" style="2" bestFit="1" customWidth="1"/>
    <col min="17" max="17" width="9.140625" style="2" bestFit="1" customWidth="1"/>
    <col min="18" max="18" width="7.42578125" bestFit="1" customWidth="1"/>
    <col min="19" max="19" width="15.7109375" style="2" bestFit="1" customWidth="1"/>
    <col min="20" max="20" width="9.140625" style="2" bestFit="1" customWidth="1"/>
    <col min="21" max="21" width="7.42578125" bestFit="1" customWidth="1"/>
    <col min="22" max="22" width="15.7109375" style="2" bestFit="1" customWidth="1"/>
    <col min="23" max="23" width="9.140625" style="2"/>
  </cols>
  <sheetData>
    <row r="1" spans="1:23" x14ac:dyDescent="0.25">
      <c r="A1" t="s">
        <v>0</v>
      </c>
      <c r="B1" t="s">
        <v>97</v>
      </c>
      <c r="C1" t="s">
        <v>1</v>
      </c>
      <c r="D1" s="2" t="s">
        <v>147</v>
      </c>
      <c r="E1" s="2" t="s">
        <v>120</v>
      </c>
      <c r="F1">
        <v>1910</v>
      </c>
      <c r="G1" s="2" t="s">
        <v>147</v>
      </c>
      <c r="H1" s="2" t="s">
        <v>120</v>
      </c>
      <c r="I1">
        <v>1920</v>
      </c>
      <c r="J1" s="2" t="s">
        <v>147</v>
      </c>
      <c r="K1" s="2" t="s">
        <v>120</v>
      </c>
      <c r="L1">
        <v>1930</v>
      </c>
      <c r="M1" s="2" t="s">
        <v>147</v>
      </c>
      <c r="N1" s="2" t="s">
        <v>120</v>
      </c>
      <c r="O1">
        <v>1940</v>
      </c>
      <c r="P1" s="2" t="s">
        <v>147</v>
      </c>
      <c r="Q1" s="2" t="s">
        <v>120</v>
      </c>
      <c r="R1">
        <v>1950</v>
      </c>
      <c r="S1" s="2" t="s">
        <v>147</v>
      </c>
      <c r="T1" s="2" t="s">
        <v>120</v>
      </c>
      <c r="U1">
        <v>1960</v>
      </c>
      <c r="V1" s="2" t="s">
        <v>147</v>
      </c>
      <c r="W1" s="2" t="s">
        <v>120</v>
      </c>
    </row>
    <row r="2" spans="1:23" x14ac:dyDescent="0.25">
      <c r="A2" t="s">
        <v>3</v>
      </c>
      <c r="B2">
        <v>1</v>
      </c>
      <c r="C2" s="2">
        <f>'Tennessee counties'!B3</f>
        <v>23845</v>
      </c>
      <c r="D2" s="2">
        <f>SUM('Tennessee counties'!B2:B96)/99</f>
        <v>20410.262626262625</v>
      </c>
      <c r="E2" s="2">
        <f>C2-D2</f>
        <v>3434.7373737373746</v>
      </c>
      <c r="F2" s="2">
        <f>'Tennessee counties'!C3</f>
        <v>22667</v>
      </c>
      <c r="G2" s="2">
        <f>SUM('Tennessee counties'!C2:C96)/99</f>
        <v>22068.575757575756</v>
      </c>
      <c r="H2" s="2">
        <f>F2-G2</f>
        <v>598.42424242424386</v>
      </c>
      <c r="I2">
        <f>'Tennessee counties'!D3</f>
        <v>21737</v>
      </c>
      <c r="J2" s="2">
        <f>SUM('Tennessee counties'!D2:D96)/99</f>
        <v>23615</v>
      </c>
      <c r="K2" s="2">
        <f>I2-J2</f>
        <v>-1878</v>
      </c>
      <c r="L2">
        <f>'Tennessee counties'!E3</f>
        <v>21077</v>
      </c>
      <c r="M2" s="2">
        <f>SUM('Tennessee counties'!E2:E96)/99</f>
        <v>26429.858585858587</v>
      </c>
      <c r="N2" s="2">
        <f>L2-M2</f>
        <v>-5352.8585858585866</v>
      </c>
      <c r="O2">
        <f>'Tennessee counties'!F3</f>
        <v>23151</v>
      </c>
      <c r="P2" s="2">
        <f>SUM('Tennessee counties'!F2:F96)/99</f>
        <v>29452.939393939392</v>
      </c>
      <c r="Q2" s="2">
        <f>O2-P2</f>
        <v>-6301.9393939393922</v>
      </c>
      <c r="R2">
        <f>'Tennessee counties'!G3</f>
        <v>23627</v>
      </c>
      <c r="S2" s="2">
        <f>SUM('Tennessee counties'!G2:G96)/99</f>
        <v>33249.67676767677</v>
      </c>
      <c r="T2" s="2">
        <f>R2-S2</f>
        <v>-9622.6767676767704</v>
      </c>
      <c r="U2">
        <f>'Tennessee counties'!H3</f>
        <v>23150</v>
      </c>
      <c r="V2" s="2">
        <f>SUM('Tennessee counties'!H2:H96)/99</f>
        <v>36031.202020202021</v>
      </c>
      <c r="W2" s="2">
        <f>U2-V2</f>
        <v>-12881.202020202021</v>
      </c>
    </row>
    <row r="3" spans="1:23" x14ac:dyDescent="0.25">
      <c r="A3" t="s">
        <v>6</v>
      </c>
      <c r="B3">
        <v>1</v>
      </c>
      <c r="C3" s="2">
        <f>'Tennessee counties'!B4</f>
        <v>11888</v>
      </c>
      <c r="D3" s="2">
        <f>$D$2</f>
        <v>20410.262626262625</v>
      </c>
      <c r="E3" s="2">
        <f t="shared" ref="E3:E54" si="0">C3-D3</f>
        <v>-8522.2626262626254</v>
      </c>
      <c r="F3" s="2">
        <f>'Tennessee counties'!C4</f>
        <v>12452</v>
      </c>
      <c r="G3" s="2">
        <f>$G$2</f>
        <v>22068.575757575756</v>
      </c>
      <c r="H3" s="2">
        <f t="shared" ref="H3:H54" si="1">F3-G3</f>
        <v>-9616.5757575757561</v>
      </c>
      <c r="I3">
        <f>'Tennessee counties'!D6</f>
        <v>28800</v>
      </c>
      <c r="J3" s="2">
        <f>$J$2</f>
        <v>23615</v>
      </c>
      <c r="K3" s="2">
        <f t="shared" ref="K3:K54" si="2">I3-J3</f>
        <v>5185</v>
      </c>
      <c r="L3">
        <f>'Tennessee counties'!E6</f>
        <v>33989</v>
      </c>
      <c r="M3" s="2">
        <f>$M$2</f>
        <v>26429.858585858587</v>
      </c>
      <c r="N3" s="2">
        <f t="shared" ref="N3:N54" si="3">L3-M3</f>
        <v>7559.1414141414134</v>
      </c>
      <c r="O3">
        <f>'Tennessee counties'!F6</f>
        <v>41116</v>
      </c>
      <c r="P3" s="2">
        <f>$P$2</f>
        <v>29452.939393939392</v>
      </c>
      <c r="Q3" s="2">
        <f t="shared" ref="Q3:Q54" si="4">O3-P3</f>
        <v>11663.060606060608</v>
      </c>
      <c r="R3">
        <f>'Tennessee counties'!G6</f>
        <v>54691</v>
      </c>
      <c r="S3" s="2">
        <f>$S$2</f>
        <v>33249.67676767677</v>
      </c>
      <c r="T3" s="2">
        <f t="shared" ref="T3:T54" si="5">R3-S3</f>
        <v>21441.32323232323</v>
      </c>
      <c r="U3">
        <f>'Tennessee counties'!H6</f>
        <v>57525</v>
      </c>
      <c r="V3" s="2">
        <f>$V$2</f>
        <v>36031.202020202021</v>
      </c>
      <c r="W3" s="2">
        <f t="shared" ref="W3:W54" si="6">U3-V3</f>
        <v>21493.797979797979</v>
      </c>
    </row>
    <row r="4" spans="1:23" x14ac:dyDescent="0.25">
      <c r="A4" t="s">
        <v>9</v>
      </c>
      <c r="B4">
        <v>1</v>
      </c>
      <c r="C4" s="2">
        <f>'Tennessee counties'!B5</f>
        <v>6626</v>
      </c>
      <c r="D4" s="2">
        <f t="shared" ref="D4:D67" si="7">$D$2</f>
        <v>20410.262626262625</v>
      </c>
      <c r="E4" s="2">
        <f t="shared" si="0"/>
        <v>-13784.262626262625</v>
      </c>
      <c r="F4" s="2">
        <f>'Tennessee counties'!C5</f>
        <v>6329</v>
      </c>
      <c r="G4" s="2">
        <f t="shared" ref="G4:G67" si="8">$G$2</f>
        <v>22068.575757575756</v>
      </c>
      <c r="H4" s="2">
        <f t="shared" si="1"/>
        <v>-15739.575757575756</v>
      </c>
      <c r="I4">
        <f>'Tennessee counties'!D9</f>
        <v>10241</v>
      </c>
      <c r="J4" s="2">
        <f t="shared" ref="J4:J67" si="9">$J$2</f>
        <v>23615</v>
      </c>
      <c r="K4" s="2">
        <f t="shared" si="2"/>
        <v>-13374</v>
      </c>
      <c r="L4">
        <f>'Tennessee counties'!E9</f>
        <v>8935</v>
      </c>
      <c r="M4" s="2">
        <f t="shared" ref="M4:M67" si="10">$M$2</f>
        <v>26429.858585858587</v>
      </c>
      <c r="N4" s="2">
        <f t="shared" si="3"/>
        <v>-17494.858585858587</v>
      </c>
      <c r="O4">
        <f>'Tennessee counties'!F9</f>
        <v>9880</v>
      </c>
      <c r="P4" s="2">
        <f t="shared" ref="P4:P67" si="11">$P$2</f>
        <v>29452.939393939392</v>
      </c>
      <c r="Q4" s="2">
        <f t="shared" si="4"/>
        <v>-19572.939393939392</v>
      </c>
      <c r="R4">
        <f>'Tennessee counties'!G9</f>
        <v>9174</v>
      </c>
      <c r="S4" s="2">
        <f t="shared" ref="S4:S67" si="12">$S$2</f>
        <v>33249.67676767677</v>
      </c>
      <c r="T4" s="2">
        <f t="shared" si="5"/>
        <v>-24075.67676767677</v>
      </c>
      <c r="U4">
        <f>'Tennessee counties'!H9</f>
        <v>8537</v>
      </c>
      <c r="V4" s="2">
        <f t="shared" ref="V4:V67" si="13">$V$2</f>
        <v>36031.202020202021</v>
      </c>
      <c r="W4" s="2">
        <f t="shared" si="6"/>
        <v>-27494.202020202021</v>
      </c>
    </row>
    <row r="5" spans="1:23" x14ac:dyDescent="0.25">
      <c r="A5" t="s">
        <v>10</v>
      </c>
      <c r="B5">
        <v>1</v>
      </c>
      <c r="C5" s="2">
        <f>'Tennessee counties'!B6</f>
        <v>19206</v>
      </c>
      <c r="D5" s="2">
        <f t="shared" si="7"/>
        <v>20410.262626262625</v>
      </c>
      <c r="E5" s="2">
        <f t="shared" si="0"/>
        <v>-1204.2626262626254</v>
      </c>
      <c r="F5" s="2">
        <f>'Tennessee counties'!C6</f>
        <v>20809</v>
      </c>
      <c r="G5" s="2">
        <f t="shared" si="8"/>
        <v>22068.575757575756</v>
      </c>
      <c r="H5" s="2">
        <f t="shared" si="1"/>
        <v>-1259.5757575757561</v>
      </c>
      <c r="I5">
        <f>'Tennessee counties'!D10</f>
        <v>24361</v>
      </c>
      <c r="J5" s="2">
        <f t="shared" si="9"/>
        <v>23615</v>
      </c>
      <c r="K5" s="2">
        <f t="shared" si="2"/>
        <v>746</v>
      </c>
      <c r="L5">
        <f>'Tennessee counties'!E10</f>
        <v>26132</v>
      </c>
      <c r="M5" s="2">
        <f t="shared" si="10"/>
        <v>26429.858585858587</v>
      </c>
      <c r="N5" s="2">
        <f t="shared" si="3"/>
        <v>-297.85858585858659</v>
      </c>
      <c r="O5">
        <f>'Tennessee counties'!F10</f>
        <v>25978</v>
      </c>
      <c r="P5" s="2">
        <f t="shared" si="11"/>
        <v>29452.939393939392</v>
      </c>
      <c r="Q5" s="2">
        <f t="shared" si="4"/>
        <v>-3474.9393939393922</v>
      </c>
      <c r="R5">
        <f>'Tennessee counties'!G10</f>
        <v>26553</v>
      </c>
      <c r="S5" s="2">
        <f t="shared" si="12"/>
        <v>33249.67676767677</v>
      </c>
      <c r="T5" s="2">
        <f t="shared" si="5"/>
        <v>-6696.6767676767704</v>
      </c>
      <c r="U5">
        <f>'Tennessee counties'!H10</f>
        <v>23476</v>
      </c>
      <c r="V5" s="2">
        <f t="shared" si="13"/>
        <v>36031.202020202021</v>
      </c>
      <c r="W5" s="2">
        <f t="shared" si="6"/>
        <v>-12555.202020202021</v>
      </c>
    </row>
    <row r="6" spans="1:23" x14ac:dyDescent="0.25">
      <c r="A6" t="s">
        <v>13</v>
      </c>
      <c r="B6">
        <v>1</v>
      </c>
      <c r="C6" s="2">
        <f>'Tennessee counties'!B7</f>
        <v>15759</v>
      </c>
      <c r="D6" s="2">
        <f t="shared" si="7"/>
        <v>20410.262626262625</v>
      </c>
      <c r="E6" s="2">
        <f t="shared" si="0"/>
        <v>-4651.2626262626254</v>
      </c>
      <c r="F6" s="2">
        <f>'Tennessee counties'!C7</f>
        <v>16336</v>
      </c>
      <c r="G6" s="2">
        <f t="shared" si="8"/>
        <v>22068.575757575756</v>
      </c>
      <c r="H6" s="2">
        <f t="shared" si="1"/>
        <v>-5732.5757575757561</v>
      </c>
      <c r="I6">
        <f>'Tennessee counties'!D13</f>
        <v>9669</v>
      </c>
      <c r="J6" s="2">
        <f t="shared" si="9"/>
        <v>23615</v>
      </c>
      <c r="K6" s="2">
        <f t="shared" si="2"/>
        <v>-13946</v>
      </c>
      <c r="L6">
        <f>'Tennessee counties'!E13</f>
        <v>10603</v>
      </c>
      <c r="M6" s="2">
        <f t="shared" si="10"/>
        <v>26429.858585858587</v>
      </c>
      <c r="N6" s="2">
        <f t="shared" si="3"/>
        <v>-15826.858585858587</v>
      </c>
      <c r="O6">
        <f>'Tennessee counties'!F13</f>
        <v>11124</v>
      </c>
      <c r="P6" s="2">
        <f t="shared" si="11"/>
        <v>29452.939393939392</v>
      </c>
      <c r="Q6" s="2">
        <f t="shared" si="4"/>
        <v>-18328.939393939392</v>
      </c>
      <c r="R6">
        <f>'Tennessee counties'!G13</f>
        <v>11149</v>
      </c>
      <c r="S6" s="2">
        <f t="shared" si="12"/>
        <v>33249.67676767677</v>
      </c>
      <c r="T6" s="2">
        <f t="shared" si="5"/>
        <v>-22100.67676767677</v>
      </c>
      <c r="U6">
        <f>'Tennessee counties'!H13</f>
        <v>9569</v>
      </c>
      <c r="V6" s="2">
        <f t="shared" si="13"/>
        <v>36031.202020202021</v>
      </c>
      <c r="W6" s="2">
        <f t="shared" si="6"/>
        <v>-26462.202020202021</v>
      </c>
    </row>
    <row r="7" spans="1:23" x14ac:dyDescent="0.25">
      <c r="A7" t="s">
        <v>16</v>
      </c>
      <c r="B7">
        <v>1</v>
      </c>
      <c r="C7" s="2">
        <f>'Tennessee counties'!B8</f>
        <v>17317</v>
      </c>
      <c r="D7" s="2">
        <f t="shared" si="7"/>
        <v>20410.262626262625</v>
      </c>
      <c r="E7" s="2">
        <f t="shared" si="0"/>
        <v>-3093.2626262626254</v>
      </c>
      <c r="F7" s="2">
        <f>'Tennessee counties'!C8</f>
        <v>27387</v>
      </c>
      <c r="G7" s="2">
        <f t="shared" si="8"/>
        <v>22068.575757575756</v>
      </c>
      <c r="H7" s="2">
        <f t="shared" si="1"/>
        <v>5318.4242424242439</v>
      </c>
      <c r="I7">
        <f>'Tennessee counties'!D16</f>
        <v>20782</v>
      </c>
      <c r="J7" s="2">
        <f t="shared" si="9"/>
        <v>23615</v>
      </c>
      <c r="K7" s="2">
        <f t="shared" si="2"/>
        <v>-2833</v>
      </c>
      <c r="L7">
        <f>'Tennessee counties'!E16</f>
        <v>21775</v>
      </c>
      <c r="M7" s="2">
        <f t="shared" si="10"/>
        <v>26429.858585858587</v>
      </c>
      <c r="N7" s="2">
        <f t="shared" si="3"/>
        <v>-4654.8585858585866</v>
      </c>
      <c r="O7">
        <f>'Tennessee counties'!F16</f>
        <v>24083</v>
      </c>
      <c r="P7" s="2">
        <f t="shared" si="11"/>
        <v>29452.939393939392</v>
      </c>
      <c r="Q7" s="2">
        <f t="shared" si="4"/>
        <v>-5369.9393939393922</v>
      </c>
      <c r="R7">
        <f>'Tennessee counties'!G16</f>
        <v>22991</v>
      </c>
      <c r="S7" s="2">
        <f t="shared" si="12"/>
        <v>33249.67676767677</v>
      </c>
      <c r="T7" s="2">
        <f t="shared" si="5"/>
        <v>-10258.67676767677</v>
      </c>
      <c r="U7">
        <f>'Tennessee counties'!H16</f>
        <v>23390</v>
      </c>
      <c r="V7" s="2">
        <f t="shared" si="13"/>
        <v>36031.202020202021</v>
      </c>
      <c r="W7" s="2">
        <f t="shared" si="6"/>
        <v>-12641.202020202021</v>
      </c>
    </row>
    <row r="8" spans="1:23" x14ac:dyDescent="0.25">
      <c r="A8" t="s">
        <v>14</v>
      </c>
      <c r="B8">
        <v>1</v>
      </c>
      <c r="C8" s="2">
        <f>'Tennessee counties'!B9</f>
        <v>12121</v>
      </c>
      <c r="D8" s="2">
        <f t="shared" si="7"/>
        <v>20410.262626262625</v>
      </c>
      <c r="E8" s="2">
        <f t="shared" si="0"/>
        <v>-8289.2626262626254</v>
      </c>
      <c r="F8" s="2">
        <f>'Tennessee counties'!C9</f>
        <v>10825</v>
      </c>
      <c r="G8" s="2">
        <f t="shared" si="8"/>
        <v>22068.575757575756</v>
      </c>
      <c r="H8" s="2">
        <f t="shared" si="1"/>
        <v>-11243.575757575756</v>
      </c>
      <c r="I8">
        <f>'Tennessee counties'!D14</f>
        <v>23286</v>
      </c>
      <c r="J8" s="2">
        <f t="shared" si="9"/>
        <v>23615</v>
      </c>
      <c r="K8" s="2">
        <f t="shared" si="2"/>
        <v>-329</v>
      </c>
      <c r="L8">
        <f>'Tennessee counties'!E14</f>
        <v>24313</v>
      </c>
      <c r="M8" s="2">
        <f t="shared" si="10"/>
        <v>26429.858585858587</v>
      </c>
      <c r="N8" s="2">
        <f t="shared" si="3"/>
        <v>-2116.8585858585866</v>
      </c>
      <c r="O8">
        <f>'Tennessee counties'!F14</f>
        <v>24657</v>
      </c>
      <c r="P8" s="2">
        <f t="shared" si="11"/>
        <v>29452.939393939392</v>
      </c>
      <c r="Q8" s="2">
        <f t="shared" si="4"/>
        <v>-4795.9393939393922</v>
      </c>
      <c r="R8">
        <f>'Tennessee counties'!G14</f>
        <v>24788</v>
      </c>
      <c r="S8" s="2">
        <f t="shared" si="12"/>
        <v>33249.67676767677</v>
      </c>
      <c r="T8" s="2">
        <f t="shared" si="5"/>
        <v>-8461.6767676767704</v>
      </c>
      <c r="U8">
        <f>'Tennessee counties'!H14</f>
        <v>19067</v>
      </c>
      <c r="V8" s="2">
        <f t="shared" si="13"/>
        <v>36031.202020202021</v>
      </c>
      <c r="W8" s="2">
        <f t="shared" si="6"/>
        <v>-16964.202020202021</v>
      </c>
    </row>
    <row r="9" spans="1:23" x14ac:dyDescent="0.25">
      <c r="A9" t="s">
        <v>17</v>
      </c>
      <c r="B9">
        <v>1</v>
      </c>
      <c r="C9" s="2">
        <f>'Tennessee counties'!B10</f>
        <v>24250</v>
      </c>
      <c r="D9" s="2">
        <f t="shared" si="7"/>
        <v>20410.262626262625</v>
      </c>
      <c r="E9" s="2">
        <f t="shared" si="0"/>
        <v>3839.7373737373746</v>
      </c>
      <c r="F9" s="2">
        <f>'Tennessee counties'!C10</f>
        <v>23971</v>
      </c>
      <c r="G9" s="2">
        <f t="shared" si="8"/>
        <v>22068.575757575756</v>
      </c>
      <c r="H9" s="2">
        <f t="shared" si="1"/>
        <v>1902.4242424242439</v>
      </c>
      <c r="I9">
        <f>'Tennessee counties'!D17</f>
        <v>17344</v>
      </c>
      <c r="J9" s="2">
        <f t="shared" si="9"/>
        <v>23615</v>
      </c>
      <c r="K9" s="2">
        <f t="shared" si="2"/>
        <v>-6271</v>
      </c>
      <c r="L9">
        <f>'Tennessee counties'!E17</f>
        <v>16801</v>
      </c>
      <c r="M9" s="2">
        <f t="shared" si="10"/>
        <v>26429.858585858587</v>
      </c>
      <c r="N9" s="2">
        <f t="shared" si="3"/>
        <v>-9628.8585858585866</v>
      </c>
      <c r="O9">
        <f>'Tennessee counties'!F17</f>
        <v>18959</v>
      </c>
      <c r="P9" s="2">
        <f t="shared" si="11"/>
        <v>29452.939393939392</v>
      </c>
      <c r="Q9" s="2">
        <f t="shared" si="4"/>
        <v>-10493.939393939392</v>
      </c>
      <c r="R9">
        <f>'Tennessee counties'!G17</f>
        <v>23049</v>
      </c>
      <c r="S9" s="2">
        <f t="shared" si="12"/>
        <v>33249.67676767677</v>
      </c>
      <c r="T9" s="2">
        <f t="shared" si="5"/>
        <v>-10200.67676767677</v>
      </c>
      <c r="U9">
        <f>'Tennessee counties'!H17</f>
        <v>28603</v>
      </c>
      <c r="V9" s="2">
        <f t="shared" si="13"/>
        <v>36031.202020202021</v>
      </c>
      <c r="W9" s="2">
        <f t="shared" si="6"/>
        <v>-7428.2020202020212</v>
      </c>
    </row>
    <row r="10" spans="1:23" x14ac:dyDescent="0.25">
      <c r="A10" t="s">
        <v>18</v>
      </c>
      <c r="B10">
        <v>1</v>
      </c>
      <c r="C10" s="2">
        <f>'Tennessee counties'!B11</f>
        <v>16688</v>
      </c>
      <c r="D10" s="2">
        <f t="shared" si="7"/>
        <v>20410.262626262625</v>
      </c>
      <c r="E10" s="2">
        <f t="shared" si="0"/>
        <v>-3722.2626262626254</v>
      </c>
      <c r="F10" s="2">
        <f>'Tennessee counties'!C11</f>
        <v>19838</v>
      </c>
      <c r="G10" s="2">
        <f t="shared" si="8"/>
        <v>22068.575757575756</v>
      </c>
      <c r="H10" s="2">
        <f t="shared" si="1"/>
        <v>-2230.5757575757561</v>
      </c>
      <c r="I10">
        <f>'Tennessee counties'!D18</f>
        <v>17438</v>
      </c>
      <c r="J10" s="2">
        <f t="shared" si="9"/>
        <v>23615</v>
      </c>
      <c r="K10" s="2">
        <f t="shared" si="2"/>
        <v>-6177</v>
      </c>
      <c r="L10">
        <f>'Tennessee counties'!E18</f>
        <v>17359</v>
      </c>
      <c r="M10" s="2">
        <f t="shared" si="10"/>
        <v>26429.858585858587</v>
      </c>
      <c r="N10" s="2">
        <f t="shared" si="3"/>
        <v>-9070.8585858585866</v>
      </c>
      <c r="O10">
        <f>'Tennessee counties'!F18</f>
        <v>17330</v>
      </c>
      <c r="P10" s="2">
        <f t="shared" si="11"/>
        <v>29452.939393939392</v>
      </c>
      <c r="Q10" s="2">
        <f t="shared" si="4"/>
        <v>-12122.939393939392</v>
      </c>
      <c r="R10">
        <f>'Tennessee counties'!G18</f>
        <v>16624</v>
      </c>
      <c r="S10" s="2">
        <f t="shared" si="12"/>
        <v>33249.67676767677</v>
      </c>
      <c r="T10" s="2">
        <f t="shared" si="5"/>
        <v>-16625.67676767677</v>
      </c>
      <c r="U10">
        <f>'Tennessee counties'!H18</f>
        <v>14594</v>
      </c>
      <c r="V10" s="2">
        <f t="shared" si="13"/>
        <v>36031.202020202021</v>
      </c>
      <c r="W10" s="2">
        <f t="shared" si="6"/>
        <v>-21437.202020202021</v>
      </c>
    </row>
    <row r="11" spans="1:23" x14ac:dyDescent="0.25">
      <c r="A11" t="s">
        <v>22</v>
      </c>
      <c r="B11">
        <v>1</v>
      </c>
      <c r="C11" s="2">
        <f>'Tennessee counties'!B12</f>
        <v>10112</v>
      </c>
      <c r="D11" s="2">
        <f t="shared" si="7"/>
        <v>20410.262626262625</v>
      </c>
      <c r="E11" s="2">
        <f t="shared" si="0"/>
        <v>-10298.262626262625</v>
      </c>
      <c r="F11" s="2">
        <f>'Tennessee counties'!C12</f>
        <v>10540</v>
      </c>
      <c r="G11" s="2">
        <f t="shared" si="8"/>
        <v>22068.575757575756</v>
      </c>
      <c r="H11" s="2">
        <f t="shared" si="1"/>
        <v>-11528.575757575756</v>
      </c>
      <c r="I11">
        <f>'Tennessee counties'!D22</f>
        <v>15370</v>
      </c>
      <c r="J11" s="2">
        <f t="shared" si="9"/>
        <v>23615</v>
      </c>
      <c r="K11" s="2">
        <f t="shared" si="2"/>
        <v>-8245</v>
      </c>
      <c r="L11">
        <f>'Tennessee counties'!E22</f>
        <v>14213</v>
      </c>
      <c r="M11" s="2">
        <f t="shared" si="10"/>
        <v>26429.858585858587</v>
      </c>
      <c r="N11" s="2">
        <f t="shared" si="3"/>
        <v>-12216.858585858587</v>
      </c>
      <c r="O11">
        <f>'Tennessee counties'!F22</f>
        <v>14588</v>
      </c>
      <c r="P11" s="2">
        <f t="shared" si="11"/>
        <v>29452.939393939392</v>
      </c>
      <c r="Q11" s="2">
        <f t="shared" si="4"/>
        <v>-14864.939393939392</v>
      </c>
      <c r="R11">
        <f>'Tennessee counties'!G22</f>
        <v>11680</v>
      </c>
      <c r="S11" s="2">
        <f t="shared" si="12"/>
        <v>33249.67676767677</v>
      </c>
      <c r="T11" s="2">
        <f t="shared" si="5"/>
        <v>-21569.67676767677</v>
      </c>
      <c r="U11">
        <f>'Tennessee counties'!H22</f>
        <v>10774</v>
      </c>
      <c r="V11" s="2">
        <f t="shared" si="13"/>
        <v>36031.202020202021</v>
      </c>
      <c r="W11" s="2">
        <f t="shared" si="6"/>
        <v>-25257.202020202021</v>
      </c>
    </row>
    <row r="12" spans="1:23" x14ac:dyDescent="0.25">
      <c r="A12" t="s">
        <v>23</v>
      </c>
      <c r="B12">
        <v>1</v>
      </c>
      <c r="C12" s="2">
        <f>'Tennessee counties'!B13</f>
        <v>9896</v>
      </c>
      <c r="D12" s="2">
        <f t="shared" si="7"/>
        <v>20410.262626262625</v>
      </c>
      <c r="E12" s="2">
        <f t="shared" si="0"/>
        <v>-10514.262626262625</v>
      </c>
      <c r="F12" s="2">
        <f>'Tennessee counties'!C13</f>
        <v>9090</v>
      </c>
      <c r="G12" s="2">
        <f t="shared" si="8"/>
        <v>22068.575757575756</v>
      </c>
      <c r="H12" s="2">
        <f t="shared" si="1"/>
        <v>-12978.575757575756</v>
      </c>
      <c r="I12">
        <f>'Tennessee counties'!D23</f>
        <v>19342</v>
      </c>
      <c r="J12" s="2">
        <f t="shared" si="9"/>
        <v>23615</v>
      </c>
      <c r="K12" s="2">
        <f t="shared" si="2"/>
        <v>-4273</v>
      </c>
      <c r="L12">
        <f>'Tennessee counties'!E23</f>
        <v>18491</v>
      </c>
      <c r="M12" s="2">
        <f t="shared" si="10"/>
        <v>26429.858585858587</v>
      </c>
      <c r="N12" s="2">
        <f t="shared" si="3"/>
        <v>-7938.8585858585866</v>
      </c>
      <c r="O12">
        <f>'Tennessee counties'!F23</f>
        <v>19718</v>
      </c>
      <c r="P12" s="2">
        <f t="shared" si="11"/>
        <v>29452.939393939392</v>
      </c>
      <c r="Q12" s="2">
        <f t="shared" si="4"/>
        <v>-9734.9393939393922</v>
      </c>
      <c r="R12">
        <f>'Tennessee counties'!G23</f>
        <v>18805</v>
      </c>
      <c r="S12" s="2">
        <f t="shared" si="12"/>
        <v>33249.67676767677</v>
      </c>
      <c r="T12" s="2">
        <f t="shared" si="5"/>
        <v>-14444.67676767677</v>
      </c>
      <c r="U12">
        <f>'Tennessee counties'!H23</f>
        <v>18839</v>
      </c>
      <c r="V12" s="2">
        <f t="shared" si="13"/>
        <v>36031.202020202021</v>
      </c>
      <c r="W12" s="2">
        <f t="shared" si="6"/>
        <v>-17192.202020202021</v>
      </c>
    </row>
    <row r="13" spans="1:23" x14ac:dyDescent="0.25">
      <c r="A13" t="s">
        <v>24</v>
      </c>
      <c r="B13">
        <v>1</v>
      </c>
      <c r="C13" s="2">
        <f>'Tennessee counties'!B14</f>
        <v>20696</v>
      </c>
      <c r="D13" s="2">
        <f t="shared" si="7"/>
        <v>20410.262626262625</v>
      </c>
      <c r="E13" s="2">
        <f t="shared" si="0"/>
        <v>285.73737373737458</v>
      </c>
      <c r="F13" s="2">
        <f>'Tennessee counties'!C14</f>
        <v>23504</v>
      </c>
      <c r="G13" s="2">
        <f t="shared" si="8"/>
        <v>22068.575757575756</v>
      </c>
      <c r="H13" s="2">
        <f t="shared" si="1"/>
        <v>1435.4242424242439</v>
      </c>
      <c r="I13">
        <f>'Tennessee counties'!D24</f>
        <v>29983</v>
      </c>
      <c r="J13" s="2">
        <f t="shared" si="9"/>
        <v>23615</v>
      </c>
      <c r="K13" s="2">
        <f t="shared" si="2"/>
        <v>6368</v>
      </c>
      <c r="L13">
        <f>'Tennessee counties'!E24</f>
        <v>31405</v>
      </c>
      <c r="M13" s="2">
        <f t="shared" si="10"/>
        <v>26429.858585858587</v>
      </c>
      <c r="N13" s="2">
        <f t="shared" si="3"/>
        <v>4975.1414141414134</v>
      </c>
      <c r="O13">
        <f>'Tennessee counties'!F24</f>
        <v>34920</v>
      </c>
      <c r="P13" s="2">
        <f t="shared" si="11"/>
        <v>29452.939393939392</v>
      </c>
      <c r="Q13" s="2">
        <f t="shared" si="4"/>
        <v>5467.0606060606078</v>
      </c>
      <c r="R13">
        <f>'Tennessee counties'!G24</f>
        <v>33473</v>
      </c>
      <c r="S13" s="2">
        <f t="shared" si="12"/>
        <v>33249.67676767677</v>
      </c>
      <c r="T13" s="2">
        <f t="shared" si="5"/>
        <v>223.3232323232296</v>
      </c>
      <c r="U13">
        <f>'Tennessee counties'!H24</f>
        <v>29537</v>
      </c>
      <c r="V13" s="2">
        <f t="shared" si="13"/>
        <v>36031.202020202021</v>
      </c>
      <c r="W13" s="2">
        <f t="shared" si="6"/>
        <v>-6494.2020202020212</v>
      </c>
    </row>
    <row r="14" spans="1:23" x14ac:dyDescent="0.25">
      <c r="A14" t="s">
        <v>25</v>
      </c>
      <c r="B14">
        <v>1</v>
      </c>
      <c r="C14" s="2">
        <f>'Tennessee counties'!B15</f>
        <v>8421</v>
      </c>
      <c r="D14" s="2">
        <f t="shared" si="7"/>
        <v>20410.262626262625</v>
      </c>
      <c r="E14" s="2">
        <f t="shared" si="0"/>
        <v>-11989.262626262625</v>
      </c>
      <c r="F14" s="2">
        <f>'Tennessee counties'!C15</f>
        <v>9009</v>
      </c>
      <c r="G14" s="2">
        <f t="shared" si="8"/>
        <v>22068.575757575756</v>
      </c>
      <c r="H14" s="2">
        <f t="shared" si="1"/>
        <v>-13059.575757575756</v>
      </c>
      <c r="I14">
        <f>'Tennessee counties'!D25</f>
        <v>31499</v>
      </c>
      <c r="J14" s="2">
        <f t="shared" si="9"/>
        <v>23615</v>
      </c>
      <c r="K14" s="2">
        <f t="shared" si="2"/>
        <v>7884</v>
      </c>
      <c r="L14">
        <f>'Tennessee counties'!E25</f>
        <v>28891</v>
      </c>
      <c r="M14" s="2">
        <f t="shared" si="10"/>
        <v>26429.858585858587</v>
      </c>
      <c r="N14" s="2">
        <f t="shared" si="3"/>
        <v>2461.1414141414134</v>
      </c>
      <c r="O14">
        <f>'Tennessee counties'!F25</f>
        <v>30322</v>
      </c>
      <c r="P14" s="2">
        <f t="shared" si="11"/>
        <v>29452.939393939392</v>
      </c>
      <c r="Q14" s="2">
        <f t="shared" si="4"/>
        <v>869.06060606060782</v>
      </c>
      <c r="R14">
        <f>'Tennessee counties'!G25</f>
        <v>27535</v>
      </c>
      <c r="S14" s="2">
        <f t="shared" si="12"/>
        <v>33249.67676767677</v>
      </c>
      <c r="T14" s="2">
        <f t="shared" si="5"/>
        <v>-5714.6767676767704</v>
      </c>
      <c r="U14">
        <f>'Tennessee counties'!H25</f>
        <v>24577</v>
      </c>
      <c r="V14" s="2">
        <f t="shared" si="13"/>
        <v>36031.202020202021</v>
      </c>
      <c r="W14" s="2">
        <f t="shared" si="6"/>
        <v>-11454.202020202021</v>
      </c>
    </row>
    <row r="15" spans="1:23" x14ac:dyDescent="0.25">
      <c r="A15" t="s">
        <v>27</v>
      </c>
      <c r="B15">
        <v>1</v>
      </c>
      <c r="C15" s="2">
        <f>'Tennessee counties'!B16</f>
        <v>19153</v>
      </c>
      <c r="D15" s="2">
        <f t="shared" si="7"/>
        <v>20410.262626262625</v>
      </c>
      <c r="E15" s="2">
        <f t="shared" si="0"/>
        <v>-1257.2626262626254</v>
      </c>
      <c r="F15" s="2">
        <f>'Tennessee counties'!C16</f>
        <v>19399</v>
      </c>
      <c r="G15" s="2">
        <f t="shared" si="8"/>
        <v>22068.575757575756</v>
      </c>
      <c r="H15" s="2">
        <f t="shared" si="1"/>
        <v>-2669.5757575757561</v>
      </c>
      <c r="I15">
        <f>'Tennessee counties'!D27</f>
        <v>20641</v>
      </c>
      <c r="J15" s="2">
        <f t="shared" si="9"/>
        <v>23615</v>
      </c>
      <c r="K15" s="2">
        <f t="shared" si="2"/>
        <v>-2974</v>
      </c>
      <c r="L15">
        <f>'Tennessee counties'!E27</f>
        <v>21796</v>
      </c>
      <c r="M15" s="2">
        <f t="shared" si="10"/>
        <v>26429.858585858587</v>
      </c>
      <c r="N15" s="2">
        <f t="shared" si="3"/>
        <v>-4633.8585858585866</v>
      </c>
      <c r="O15">
        <f>'Tennessee counties'!F27</f>
        <v>23892</v>
      </c>
      <c r="P15" s="2">
        <f t="shared" si="11"/>
        <v>29452.939393939392</v>
      </c>
      <c r="Q15" s="2">
        <f t="shared" si="4"/>
        <v>-5560.9393939393922</v>
      </c>
      <c r="R15">
        <f>'Tennessee counties'!G27</f>
        <v>25431</v>
      </c>
      <c r="S15" s="2">
        <f t="shared" si="12"/>
        <v>33249.67676767677</v>
      </c>
      <c r="T15" s="2">
        <f t="shared" si="5"/>
        <v>-7818.6767676767704</v>
      </c>
      <c r="U15">
        <f>'Tennessee counties'!H27</f>
        <v>25528</v>
      </c>
      <c r="V15" s="2">
        <f t="shared" si="13"/>
        <v>36031.202020202021</v>
      </c>
      <c r="W15" s="2">
        <f t="shared" si="6"/>
        <v>-10503.202020202021</v>
      </c>
    </row>
    <row r="16" spans="1:23" x14ac:dyDescent="0.25">
      <c r="A16" t="s">
        <v>29</v>
      </c>
      <c r="B16">
        <v>1</v>
      </c>
      <c r="C16" s="2">
        <f>'Tennessee counties'!B17</f>
        <v>15574</v>
      </c>
      <c r="D16" s="2">
        <f t="shared" si="7"/>
        <v>20410.262626262625</v>
      </c>
      <c r="E16" s="2">
        <f t="shared" si="0"/>
        <v>-4836.2626262626254</v>
      </c>
      <c r="F16" s="2">
        <f>'Tennessee counties'!C17</f>
        <v>15625</v>
      </c>
      <c r="G16" s="2">
        <f t="shared" si="8"/>
        <v>22068.575757575756</v>
      </c>
      <c r="H16" s="2">
        <f t="shared" si="1"/>
        <v>-6443.5757575757561</v>
      </c>
      <c r="I16">
        <f>'Tennessee counties'!D29</f>
        <v>30948</v>
      </c>
      <c r="J16" s="2">
        <f t="shared" si="9"/>
        <v>23615</v>
      </c>
      <c r="K16" s="2">
        <f t="shared" si="2"/>
        <v>7333</v>
      </c>
      <c r="L16">
        <f>'Tennessee counties'!E29</f>
        <v>28016</v>
      </c>
      <c r="M16" s="2">
        <f t="shared" si="10"/>
        <v>26429.858585858587</v>
      </c>
      <c r="N16" s="2">
        <f t="shared" si="3"/>
        <v>1586.1414141414134</v>
      </c>
      <c r="O16">
        <f>'Tennessee counties'!F29</f>
        <v>29240</v>
      </c>
      <c r="P16" s="2">
        <f t="shared" si="11"/>
        <v>29452.939393939392</v>
      </c>
      <c r="Q16" s="2">
        <f t="shared" si="4"/>
        <v>-212.93939393939218</v>
      </c>
      <c r="R16">
        <f>'Tennessee counties'!G29</f>
        <v>26961</v>
      </c>
      <c r="S16" s="2">
        <f t="shared" si="12"/>
        <v>33249.67676767677</v>
      </c>
      <c r="T16" s="2">
        <f t="shared" si="5"/>
        <v>-6288.6767676767704</v>
      </c>
      <c r="U16">
        <f>'Tennessee counties'!H29</f>
        <v>22410</v>
      </c>
      <c r="V16" s="2">
        <f t="shared" si="13"/>
        <v>36031.202020202021</v>
      </c>
      <c r="W16" s="2">
        <f t="shared" si="6"/>
        <v>-13621.202020202021</v>
      </c>
    </row>
    <row r="17" spans="1:23" x14ac:dyDescent="0.25">
      <c r="A17" t="s">
        <v>31</v>
      </c>
      <c r="B17">
        <v>1</v>
      </c>
      <c r="C17" s="2">
        <f>'Tennessee counties'!B18</f>
        <v>15867</v>
      </c>
      <c r="D17" s="2">
        <f t="shared" si="7"/>
        <v>20410.262626262625</v>
      </c>
      <c r="E17" s="2">
        <f t="shared" si="0"/>
        <v>-4543.2626262626254</v>
      </c>
      <c r="F17" s="2">
        <f>'Tennessee counties'!C18</f>
        <v>16076</v>
      </c>
      <c r="G17" s="2">
        <f t="shared" si="8"/>
        <v>22068.575757575756</v>
      </c>
      <c r="H17" s="2">
        <f t="shared" si="1"/>
        <v>-5992.5757575757561</v>
      </c>
      <c r="I17">
        <f>'Tennessee counties'!D31</f>
        <v>32824</v>
      </c>
      <c r="J17" s="2">
        <f t="shared" si="9"/>
        <v>23615</v>
      </c>
      <c r="K17" s="2">
        <f t="shared" si="2"/>
        <v>9209</v>
      </c>
      <c r="L17">
        <f>'Tennessee counties'!E31</f>
        <v>35119</v>
      </c>
      <c r="M17" s="2">
        <f t="shared" si="10"/>
        <v>26429.858585858587</v>
      </c>
      <c r="N17" s="2">
        <f t="shared" si="3"/>
        <v>8689.1414141414134</v>
      </c>
      <c r="O17">
        <f>'Tennessee counties'!F31</f>
        <v>39405</v>
      </c>
      <c r="P17" s="2">
        <f t="shared" si="11"/>
        <v>29452.939393939392</v>
      </c>
      <c r="Q17" s="2">
        <f t="shared" si="4"/>
        <v>9952.0606060606078</v>
      </c>
      <c r="R17">
        <f>'Tennessee counties'!G31</f>
        <v>41048</v>
      </c>
      <c r="S17" s="2">
        <f t="shared" si="12"/>
        <v>33249.67676767677</v>
      </c>
      <c r="T17" s="2">
        <f t="shared" si="5"/>
        <v>7798.3232323232296</v>
      </c>
      <c r="U17">
        <f>'Tennessee counties'!H31</f>
        <v>42163</v>
      </c>
      <c r="V17" s="2">
        <f t="shared" si="13"/>
        <v>36031.202020202021</v>
      </c>
      <c r="W17" s="2">
        <f t="shared" si="6"/>
        <v>6131.7979797979788</v>
      </c>
    </row>
    <row r="18" spans="1:23" x14ac:dyDescent="0.25">
      <c r="A18" t="s">
        <v>36</v>
      </c>
      <c r="B18">
        <v>1</v>
      </c>
      <c r="C18" s="2">
        <f>'Tennessee counties'!B19</f>
        <v>8311</v>
      </c>
      <c r="D18" s="2">
        <f t="shared" si="7"/>
        <v>20410.262626262625</v>
      </c>
      <c r="E18" s="2">
        <f t="shared" si="0"/>
        <v>-12099.262626262625</v>
      </c>
      <c r="F18" s="2">
        <f>'Tennessee counties'!C19</f>
        <v>9327</v>
      </c>
      <c r="G18" s="2">
        <f t="shared" si="8"/>
        <v>22068.575757575756</v>
      </c>
      <c r="H18" s="2">
        <f t="shared" si="1"/>
        <v>-12741.575757575756</v>
      </c>
      <c r="I18">
        <f>'Tennessee counties'!D36</f>
        <v>22278</v>
      </c>
      <c r="J18" s="2">
        <f t="shared" si="9"/>
        <v>23615</v>
      </c>
      <c r="K18" s="2">
        <f t="shared" si="2"/>
        <v>-1337</v>
      </c>
      <c r="L18">
        <f>'Tennessee counties'!E36</f>
        <v>22193</v>
      </c>
      <c r="M18" s="2">
        <f t="shared" si="10"/>
        <v>26429.858585858587</v>
      </c>
      <c r="N18" s="2">
        <f t="shared" si="3"/>
        <v>-4236.8585858585866</v>
      </c>
      <c r="O18">
        <f>'Tennessee counties'!F36</f>
        <v>23590</v>
      </c>
      <c r="P18" s="2">
        <f t="shared" si="11"/>
        <v>29452.939393939392</v>
      </c>
      <c r="Q18" s="2">
        <f t="shared" si="4"/>
        <v>-5862.9393939393922</v>
      </c>
      <c r="R18">
        <f>'Tennessee counties'!G36</f>
        <v>23311</v>
      </c>
      <c r="S18" s="2">
        <f t="shared" si="12"/>
        <v>33249.67676767677</v>
      </c>
      <c r="T18" s="2">
        <f t="shared" si="5"/>
        <v>-9938.6767676767704</v>
      </c>
      <c r="U18">
        <f>'Tennessee counties'!H36</f>
        <v>21517</v>
      </c>
      <c r="V18" s="2">
        <f t="shared" si="13"/>
        <v>36031.202020202021</v>
      </c>
      <c r="W18" s="2">
        <f t="shared" si="6"/>
        <v>-14514.202020202021</v>
      </c>
    </row>
    <row r="19" spans="1:23" x14ac:dyDescent="0.25">
      <c r="A19" t="s">
        <v>37</v>
      </c>
      <c r="B19">
        <v>1</v>
      </c>
      <c r="C19" s="2">
        <f>'Tennessee counties'!B20</f>
        <v>122815</v>
      </c>
      <c r="D19" s="2">
        <f t="shared" si="7"/>
        <v>20410.262626262625</v>
      </c>
      <c r="E19" s="2">
        <f t="shared" si="0"/>
        <v>102404.73737373737</v>
      </c>
      <c r="F19" s="2">
        <f>'Tennessee counties'!C20</f>
        <v>149478</v>
      </c>
      <c r="G19" s="2">
        <f t="shared" si="8"/>
        <v>22068.575757575756</v>
      </c>
      <c r="H19" s="2">
        <f t="shared" si="1"/>
        <v>127409.42424242424</v>
      </c>
      <c r="I19">
        <f>'Tennessee counties'!D37</f>
        <v>17291</v>
      </c>
      <c r="J19" s="2">
        <f t="shared" si="9"/>
        <v>23615</v>
      </c>
      <c r="K19" s="2">
        <f t="shared" si="2"/>
        <v>-6324</v>
      </c>
      <c r="L19">
        <f>'Tennessee counties'!E37</f>
        <v>16213</v>
      </c>
      <c r="M19" s="2">
        <f t="shared" si="10"/>
        <v>26429.858585858587</v>
      </c>
      <c r="N19" s="2">
        <f t="shared" si="3"/>
        <v>-10216.858585858587</v>
      </c>
      <c r="O19">
        <f>'Tennessee counties'!F37</f>
        <v>17806</v>
      </c>
      <c r="P19" s="2">
        <f t="shared" si="11"/>
        <v>29452.939393939392</v>
      </c>
      <c r="Q19" s="2">
        <f t="shared" si="4"/>
        <v>-11646.939393939392</v>
      </c>
      <c r="R19">
        <f>'Tennessee counties'!G37</f>
        <v>16908</v>
      </c>
      <c r="S19" s="2">
        <f t="shared" si="12"/>
        <v>33249.67676767677</v>
      </c>
      <c r="T19" s="2">
        <f t="shared" si="5"/>
        <v>-16341.67676767677</v>
      </c>
      <c r="U19">
        <f>'Tennessee counties'!H37</f>
        <v>17397</v>
      </c>
      <c r="V19" s="2">
        <f t="shared" si="13"/>
        <v>36031.202020202021</v>
      </c>
      <c r="W19" s="2">
        <f t="shared" si="6"/>
        <v>-18634.202020202021</v>
      </c>
    </row>
    <row r="20" spans="1:23" x14ac:dyDescent="0.25">
      <c r="A20" t="s">
        <v>41</v>
      </c>
      <c r="B20">
        <v>1</v>
      </c>
      <c r="C20" s="2">
        <f>'Tennessee counties'!B21</f>
        <v>10439</v>
      </c>
      <c r="D20" s="2">
        <f t="shared" si="7"/>
        <v>20410.262626262625</v>
      </c>
      <c r="E20" s="2">
        <f t="shared" si="0"/>
        <v>-9971.2626262626254</v>
      </c>
      <c r="F20" s="2">
        <f>'Tennessee counties'!C21</f>
        <v>10093</v>
      </c>
      <c r="G20" s="2">
        <f t="shared" si="8"/>
        <v>22068.575757575756</v>
      </c>
      <c r="H20" s="2">
        <f t="shared" si="1"/>
        <v>-11975.575757575756</v>
      </c>
      <c r="I20">
        <f>'Tennessee counties'!D41</f>
        <v>27151</v>
      </c>
      <c r="J20" s="2">
        <f t="shared" si="9"/>
        <v>23615</v>
      </c>
      <c r="K20" s="2">
        <f t="shared" si="2"/>
        <v>3536</v>
      </c>
      <c r="L20">
        <f>'Tennessee counties'!E41</f>
        <v>26432</v>
      </c>
      <c r="M20" s="2">
        <f t="shared" si="10"/>
        <v>26429.858585858587</v>
      </c>
      <c r="N20" s="2">
        <f t="shared" si="3"/>
        <v>2.1414141414134065</v>
      </c>
      <c r="O20">
        <f>'Tennessee counties'!F41</f>
        <v>25877</v>
      </c>
      <c r="P20" s="2">
        <f t="shared" si="11"/>
        <v>29452.939393939392</v>
      </c>
      <c r="Q20" s="2">
        <f t="shared" si="4"/>
        <v>-3575.9393939393922</v>
      </c>
      <c r="R20">
        <f>'Tennessee counties'!G41</f>
        <v>23828</v>
      </c>
      <c r="S20" s="2">
        <f t="shared" si="12"/>
        <v>33249.67676767677</v>
      </c>
      <c r="T20" s="2">
        <f t="shared" si="5"/>
        <v>-9421.6767676767704</v>
      </c>
      <c r="U20">
        <f>'Tennessee counties'!H41</f>
        <v>22275</v>
      </c>
      <c r="V20" s="2">
        <f t="shared" si="13"/>
        <v>36031.202020202021</v>
      </c>
      <c r="W20" s="2">
        <f t="shared" si="6"/>
        <v>-13756.202020202021</v>
      </c>
    </row>
    <row r="21" spans="1:23" x14ac:dyDescent="0.25">
      <c r="A21" t="s">
        <v>42</v>
      </c>
      <c r="B21">
        <v>1</v>
      </c>
      <c r="C21" s="2">
        <f>'Tennessee counties'!B22</f>
        <v>16460</v>
      </c>
      <c r="D21" s="2">
        <f t="shared" si="7"/>
        <v>20410.262626262625</v>
      </c>
      <c r="E21" s="2">
        <f t="shared" si="0"/>
        <v>-3950.2626262626254</v>
      </c>
      <c r="F21" s="2">
        <f>'Tennessee counties'!C22</f>
        <v>15434</v>
      </c>
      <c r="G21" s="2">
        <f t="shared" si="8"/>
        <v>22068.575757575756</v>
      </c>
      <c r="H21" s="2">
        <f t="shared" si="1"/>
        <v>-6634.5757575757561</v>
      </c>
      <c r="I21">
        <f>'Tennessee counties'!D42</f>
        <v>16216</v>
      </c>
      <c r="J21" s="2">
        <f t="shared" si="9"/>
        <v>23615</v>
      </c>
      <c r="K21" s="2">
        <f t="shared" si="2"/>
        <v>-7399</v>
      </c>
      <c r="L21">
        <f>'Tennessee counties'!E42</f>
        <v>13613</v>
      </c>
      <c r="M21" s="2">
        <f t="shared" si="10"/>
        <v>26429.858585858587</v>
      </c>
      <c r="N21" s="2">
        <f t="shared" si="3"/>
        <v>-12816.858585858587</v>
      </c>
      <c r="O21">
        <f>'Tennessee counties'!F42</f>
        <v>14873</v>
      </c>
      <c r="P21" s="2">
        <f t="shared" si="11"/>
        <v>29452.939393939392</v>
      </c>
      <c r="Q21" s="2">
        <f t="shared" si="4"/>
        <v>-14579.939393939392</v>
      </c>
      <c r="R21">
        <f>'Tennessee counties'!G42</f>
        <v>13353</v>
      </c>
      <c r="S21" s="2">
        <f t="shared" si="12"/>
        <v>33249.67676767677</v>
      </c>
      <c r="T21" s="2">
        <f t="shared" si="5"/>
        <v>-19896.67676767677</v>
      </c>
      <c r="U21">
        <f>'Tennessee counties'!H42</f>
        <v>11862</v>
      </c>
      <c r="V21" s="2">
        <f t="shared" si="13"/>
        <v>36031.202020202021</v>
      </c>
      <c r="W21" s="2">
        <f t="shared" si="6"/>
        <v>-24169.202020202021</v>
      </c>
    </row>
    <row r="22" spans="1:23" x14ac:dyDescent="0.25">
      <c r="A22" t="s">
        <v>38</v>
      </c>
      <c r="B22">
        <v>1</v>
      </c>
      <c r="C22" s="2">
        <f>'Tennessee counties'!B23</f>
        <v>18635</v>
      </c>
      <c r="D22" s="2">
        <f t="shared" si="7"/>
        <v>20410.262626262625</v>
      </c>
      <c r="E22" s="2">
        <f t="shared" si="0"/>
        <v>-1775.2626262626254</v>
      </c>
      <c r="F22" s="2">
        <f>'Tennessee counties'!C23</f>
        <v>19955</v>
      </c>
      <c r="G22" s="2">
        <f t="shared" si="8"/>
        <v>22068.575757575756</v>
      </c>
      <c r="H22" s="2">
        <f t="shared" si="1"/>
        <v>-2113.5757575757561</v>
      </c>
      <c r="I22">
        <f>'Tennessee counties'!D38</f>
        <v>22918</v>
      </c>
      <c r="J22" s="2">
        <f t="shared" si="9"/>
        <v>23615</v>
      </c>
      <c r="K22" s="2">
        <f t="shared" si="2"/>
        <v>-697</v>
      </c>
      <c r="L22">
        <f>'Tennessee counties'!E38</f>
        <v>24117</v>
      </c>
      <c r="M22" s="2">
        <f t="shared" si="10"/>
        <v>26429.858585858587</v>
      </c>
      <c r="N22" s="2">
        <f t="shared" si="3"/>
        <v>-2312.8585858585866</v>
      </c>
      <c r="O22">
        <f>'Tennessee counties'!F38</f>
        <v>28523</v>
      </c>
      <c r="P22" s="2">
        <f t="shared" si="11"/>
        <v>29452.939393939392</v>
      </c>
      <c r="Q22" s="2">
        <f t="shared" si="4"/>
        <v>-929.93939393939218</v>
      </c>
      <c r="R22">
        <f>'Tennessee counties'!G38</f>
        <v>30494</v>
      </c>
      <c r="S22" s="2">
        <f t="shared" si="12"/>
        <v>33249.67676767677</v>
      </c>
      <c r="T22" s="2">
        <f t="shared" si="5"/>
        <v>-2755.6767676767704</v>
      </c>
      <c r="U22">
        <f>'Tennessee counties'!H38</f>
        <v>30468</v>
      </c>
      <c r="V22" s="2">
        <f t="shared" si="13"/>
        <v>36031.202020202021</v>
      </c>
      <c r="W22" s="2">
        <f t="shared" si="6"/>
        <v>-5563.2020202020212</v>
      </c>
    </row>
    <row r="23" spans="1:23" x14ac:dyDescent="0.25">
      <c r="A23" t="s">
        <v>39</v>
      </c>
      <c r="B23">
        <v>1</v>
      </c>
      <c r="C23" s="2">
        <f>'Tennessee counties'!B24</f>
        <v>23776</v>
      </c>
      <c r="D23" s="2">
        <f t="shared" si="7"/>
        <v>20410.262626262625</v>
      </c>
      <c r="E23" s="2">
        <f t="shared" si="0"/>
        <v>3365.7373737373746</v>
      </c>
      <c r="F23" s="2">
        <f>'Tennessee counties'!C24</f>
        <v>27721</v>
      </c>
      <c r="G23" s="2">
        <f t="shared" si="8"/>
        <v>22068.575757575756</v>
      </c>
      <c r="H23" s="2">
        <f t="shared" si="1"/>
        <v>5652.4242424242439</v>
      </c>
      <c r="I23">
        <f>'Tennessee counties'!D39</f>
        <v>25386</v>
      </c>
      <c r="J23" s="2">
        <f t="shared" si="9"/>
        <v>23615</v>
      </c>
      <c r="K23" s="2">
        <f t="shared" si="2"/>
        <v>1771</v>
      </c>
      <c r="L23">
        <f>'Tennessee counties'!E39</f>
        <v>26063</v>
      </c>
      <c r="M23" s="2">
        <f t="shared" si="10"/>
        <v>26429.858585858587</v>
      </c>
      <c r="N23" s="2">
        <f t="shared" si="3"/>
        <v>-366.85858585858659</v>
      </c>
      <c r="O23">
        <f>'Tennessee counties'!F39</f>
        <v>27699</v>
      </c>
      <c r="P23" s="2">
        <f t="shared" si="11"/>
        <v>29452.939393939392</v>
      </c>
      <c r="Q23" s="2">
        <f t="shared" si="4"/>
        <v>-1753.9393939393922</v>
      </c>
      <c r="R23">
        <f>'Tennessee counties'!G39</f>
        <v>26212</v>
      </c>
      <c r="S23" s="2">
        <f t="shared" si="12"/>
        <v>33249.67676767677</v>
      </c>
      <c r="T23" s="2">
        <f t="shared" si="5"/>
        <v>-7037.6767676767704</v>
      </c>
      <c r="U23">
        <f>'Tennessee counties'!H39</f>
        <v>23393</v>
      </c>
      <c r="V23" s="2">
        <f t="shared" si="13"/>
        <v>36031.202020202021</v>
      </c>
      <c r="W23" s="2">
        <f t="shared" si="6"/>
        <v>-12638.202020202021</v>
      </c>
    </row>
    <row r="24" spans="1:23" x14ac:dyDescent="0.25">
      <c r="A24" t="s">
        <v>45</v>
      </c>
      <c r="B24">
        <v>1</v>
      </c>
      <c r="C24" s="2">
        <f>'Tennessee counties'!B25</f>
        <v>29701</v>
      </c>
      <c r="D24" s="2">
        <f t="shared" si="7"/>
        <v>20410.262626262625</v>
      </c>
      <c r="E24" s="2">
        <f t="shared" si="0"/>
        <v>9290.7373737373746</v>
      </c>
      <c r="F24" s="2">
        <f>'Tennessee counties'!C25</f>
        <v>30257</v>
      </c>
      <c r="G24" s="2">
        <f t="shared" si="8"/>
        <v>22068.575757575756</v>
      </c>
      <c r="H24" s="2">
        <f t="shared" si="1"/>
        <v>8188.4242424242439</v>
      </c>
      <c r="I24">
        <f>'Tennessee counties'!D45</f>
        <v>14955</v>
      </c>
      <c r="J24" s="2">
        <f t="shared" si="9"/>
        <v>23615</v>
      </c>
      <c r="K24" s="2">
        <f t="shared" si="2"/>
        <v>-8660</v>
      </c>
      <c r="L24">
        <f>'Tennessee counties'!E45</f>
        <v>13589</v>
      </c>
      <c r="M24" s="2">
        <f t="shared" si="10"/>
        <v>26429.858585858587</v>
      </c>
      <c r="N24" s="2">
        <f t="shared" si="3"/>
        <v>-12840.858585858587</v>
      </c>
      <c r="O24">
        <f>'Tennessee counties'!F45</f>
        <v>15082</v>
      </c>
      <c r="P24" s="2">
        <f t="shared" si="11"/>
        <v>29452.939393939392</v>
      </c>
      <c r="Q24" s="2">
        <f t="shared" si="4"/>
        <v>-14370.939393939392</v>
      </c>
      <c r="R24">
        <f>'Tennessee counties'!G45</f>
        <v>12348</v>
      </c>
      <c r="S24" s="2">
        <f t="shared" si="12"/>
        <v>33249.67676767677</v>
      </c>
      <c r="T24" s="2">
        <f t="shared" si="5"/>
        <v>-20901.67676767677</v>
      </c>
      <c r="U24">
        <f>'Tennessee counties'!H45</f>
        <v>9233</v>
      </c>
      <c r="V24" s="2">
        <f t="shared" si="13"/>
        <v>36031.202020202021</v>
      </c>
      <c r="W24" s="2">
        <f t="shared" si="6"/>
        <v>-26798.202020202021</v>
      </c>
    </row>
    <row r="25" spans="1:23" x14ac:dyDescent="0.25">
      <c r="A25" t="s">
        <v>49</v>
      </c>
      <c r="B25">
        <v>1</v>
      </c>
      <c r="C25" s="2">
        <f>'Tennessee counties'!B26</f>
        <v>6106</v>
      </c>
      <c r="D25" s="2">
        <f t="shared" si="7"/>
        <v>20410.262626262625</v>
      </c>
      <c r="E25" s="2">
        <f t="shared" si="0"/>
        <v>-14304.262626262625</v>
      </c>
      <c r="F25" s="2">
        <f>'Tennessee counties'!C26</f>
        <v>7446</v>
      </c>
      <c r="G25" s="2">
        <f t="shared" si="8"/>
        <v>22068.575757575756</v>
      </c>
      <c r="H25" s="2">
        <f t="shared" si="1"/>
        <v>-14622.575757575756</v>
      </c>
      <c r="I25">
        <f>'Tennessee counties'!D49</f>
        <v>9075</v>
      </c>
      <c r="J25" s="2">
        <f t="shared" si="9"/>
        <v>23615</v>
      </c>
      <c r="K25" s="2">
        <f t="shared" si="2"/>
        <v>-14540</v>
      </c>
      <c r="L25">
        <f>'Tennessee counties'!E49</f>
        <v>10486</v>
      </c>
      <c r="M25" s="2">
        <f t="shared" si="10"/>
        <v>26429.858585858587</v>
      </c>
      <c r="N25" s="2">
        <f t="shared" si="3"/>
        <v>-15943.858585858587</v>
      </c>
      <c r="O25">
        <f>'Tennessee counties'!F49</f>
        <v>11235</v>
      </c>
      <c r="P25" s="2">
        <f t="shared" si="11"/>
        <v>29452.939393939392</v>
      </c>
      <c r="Q25" s="2">
        <f t="shared" si="4"/>
        <v>-18217.939393939392</v>
      </c>
      <c r="R25">
        <f>'Tennessee counties'!G49</f>
        <v>11655</v>
      </c>
      <c r="S25" s="2">
        <f t="shared" si="12"/>
        <v>33249.67676767677</v>
      </c>
      <c r="T25" s="2">
        <f t="shared" si="5"/>
        <v>-21594.67676767677</v>
      </c>
      <c r="U25">
        <f>'Tennessee counties'!H49</f>
        <v>9572</v>
      </c>
      <c r="V25" s="2">
        <f t="shared" si="13"/>
        <v>36031.202020202021</v>
      </c>
      <c r="W25" s="2">
        <f t="shared" si="6"/>
        <v>-26459.202020202021</v>
      </c>
    </row>
    <row r="26" spans="1:23" x14ac:dyDescent="0.25">
      <c r="A26" t="s">
        <v>50</v>
      </c>
      <c r="B26">
        <v>1</v>
      </c>
      <c r="C26" s="2">
        <f>'Tennessee counties'!B27</f>
        <v>20392</v>
      </c>
      <c r="D26" s="2">
        <f t="shared" si="7"/>
        <v>20410.262626262625</v>
      </c>
      <c r="E26" s="2">
        <f t="shared" si="0"/>
        <v>-18.262626262625417</v>
      </c>
      <c r="F26" s="2">
        <f>'Tennessee counties'!C27</f>
        <v>20491</v>
      </c>
      <c r="G26" s="2">
        <f t="shared" si="8"/>
        <v>22068.575757575756</v>
      </c>
      <c r="H26" s="2">
        <f t="shared" si="1"/>
        <v>-1577.5757575757561</v>
      </c>
      <c r="I26">
        <f>'Tennessee counties'!D50</f>
        <v>21494</v>
      </c>
      <c r="J26" s="2">
        <f t="shared" si="9"/>
        <v>23615</v>
      </c>
      <c r="K26" s="2">
        <f t="shared" si="2"/>
        <v>-2121</v>
      </c>
      <c r="L26">
        <f>'Tennessee counties'!E50</f>
        <v>23406</v>
      </c>
      <c r="M26" s="2">
        <f t="shared" si="10"/>
        <v>26429.858585858587</v>
      </c>
      <c r="N26" s="2">
        <f t="shared" si="3"/>
        <v>-3023.8585858585866</v>
      </c>
      <c r="O26">
        <f>'Tennessee counties'!F50</f>
        <v>24461</v>
      </c>
      <c r="P26" s="2">
        <f t="shared" si="11"/>
        <v>29452.939393939392</v>
      </c>
      <c r="Q26" s="2">
        <f t="shared" si="4"/>
        <v>-4991.9393939393922</v>
      </c>
      <c r="R26">
        <f>'Tennessee counties'!G50</f>
        <v>25047</v>
      </c>
      <c r="S26" s="2">
        <f t="shared" si="12"/>
        <v>33249.67676767677</v>
      </c>
      <c r="T26" s="2">
        <f t="shared" si="5"/>
        <v>-8202.6767676767704</v>
      </c>
      <c r="U26">
        <f>'Tennessee counties'!H50</f>
        <v>21844</v>
      </c>
      <c r="V26" s="2">
        <f t="shared" si="13"/>
        <v>36031.202020202021</v>
      </c>
      <c r="W26" s="2">
        <f t="shared" si="6"/>
        <v>-14187.202020202021</v>
      </c>
    </row>
    <row r="27" spans="1:23" x14ac:dyDescent="0.25">
      <c r="A27" t="s">
        <v>51</v>
      </c>
      <c r="B27">
        <v>1</v>
      </c>
      <c r="C27" s="2">
        <f>'Tennessee counties'!B28</f>
        <v>39408</v>
      </c>
      <c r="D27" s="2">
        <f t="shared" si="7"/>
        <v>20410.262626262625</v>
      </c>
      <c r="E27" s="2">
        <f t="shared" si="0"/>
        <v>18997.737373737375</v>
      </c>
      <c r="F27" s="2">
        <f>'Tennessee counties'!C28</f>
        <v>41630</v>
      </c>
      <c r="G27" s="2">
        <f t="shared" si="8"/>
        <v>22068.575757575756</v>
      </c>
      <c r="H27" s="2">
        <f t="shared" si="1"/>
        <v>19561.424242424244</v>
      </c>
      <c r="I27">
        <f>'Tennessee counties'!D51</f>
        <v>23593</v>
      </c>
      <c r="J27" s="2">
        <f t="shared" si="9"/>
        <v>23615</v>
      </c>
      <c r="K27" s="2">
        <f t="shared" si="2"/>
        <v>-22</v>
      </c>
      <c r="L27">
        <f>'Tennessee counties'!E51</f>
        <v>26776</v>
      </c>
      <c r="M27" s="2">
        <f t="shared" si="10"/>
        <v>26429.858585858587</v>
      </c>
      <c r="N27" s="2">
        <f t="shared" si="3"/>
        <v>346.14141414141341</v>
      </c>
      <c r="O27">
        <f>'Tennessee counties'!F51</f>
        <v>28726</v>
      </c>
      <c r="P27" s="2">
        <f t="shared" si="11"/>
        <v>29452.939393939392</v>
      </c>
      <c r="Q27" s="2">
        <f t="shared" si="4"/>
        <v>-726.93939393939218</v>
      </c>
      <c r="R27">
        <f>'Tennessee counties'!G51</f>
        <v>28818</v>
      </c>
      <c r="S27" s="2">
        <f t="shared" si="12"/>
        <v>33249.67676767677</v>
      </c>
      <c r="T27" s="2">
        <f t="shared" si="5"/>
        <v>-4431.6767676767704</v>
      </c>
      <c r="U27">
        <f>'Tennessee counties'!H51</f>
        <v>28049</v>
      </c>
      <c r="V27" s="2">
        <f t="shared" si="13"/>
        <v>36031.202020202021</v>
      </c>
      <c r="W27" s="2">
        <f t="shared" si="6"/>
        <v>-7982.2020202020212</v>
      </c>
    </row>
    <row r="28" spans="1:23" x14ac:dyDescent="0.25">
      <c r="A28" t="s">
        <v>53</v>
      </c>
      <c r="B28">
        <v>1</v>
      </c>
      <c r="C28" s="2">
        <f>'Tennessee counties'!B29</f>
        <v>33035</v>
      </c>
      <c r="D28" s="2">
        <f t="shared" si="7"/>
        <v>20410.262626262625</v>
      </c>
      <c r="E28" s="2">
        <f t="shared" si="0"/>
        <v>12624.737373737375</v>
      </c>
      <c r="F28" s="2">
        <f>'Tennessee counties'!C29</f>
        <v>32629</v>
      </c>
      <c r="G28" s="2">
        <f t="shared" si="8"/>
        <v>22068.575757575756</v>
      </c>
      <c r="H28" s="2">
        <f t="shared" si="1"/>
        <v>10560.424242424244</v>
      </c>
      <c r="I28">
        <f>'Tennessee counties'!D53</f>
        <v>25786</v>
      </c>
      <c r="J28" s="2">
        <f t="shared" si="9"/>
        <v>23615</v>
      </c>
      <c r="K28" s="2">
        <f t="shared" si="2"/>
        <v>2171</v>
      </c>
      <c r="L28">
        <f>'Tennessee counties'!E53</f>
        <v>25422</v>
      </c>
      <c r="M28" s="2">
        <f t="shared" si="10"/>
        <v>26429.858585858587</v>
      </c>
      <c r="N28" s="2">
        <f t="shared" si="3"/>
        <v>-1007.8585858585866</v>
      </c>
      <c r="O28">
        <f>'Tennessee counties'!F53</f>
        <v>27214</v>
      </c>
      <c r="P28" s="2">
        <f t="shared" si="11"/>
        <v>29452.939393939392</v>
      </c>
      <c r="Q28" s="2">
        <f t="shared" si="4"/>
        <v>-2238.9393939393922</v>
      </c>
      <c r="R28">
        <f>'Tennessee counties'!G53</f>
        <v>25624</v>
      </c>
      <c r="S28" s="2">
        <f t="shared" si="12"/>
        <v>33249.67676767677</v>
      </c>
      <c r="T28" s="2">
        <f t="shared" si="5"/>
        <v>-7625.6767676767704</v>
      </c>
      <c r="U28">
        <f>'Tennessee counties'!H53</f>
        <v>23829</v>
      </c>
      <c r="V28" s="2">
        <f t="shared" si="13"/>
        <v>36031.202020202021</v>
      </c>
      <c r="W28" s="2">
        <f t="shared" si="6"/>
        <v>-12202.202020202021</v>
      </c>
    </row>
    <row r="29" spans="1:23" x14ac:dyDescent="0.25">
      <c r="A29" t="s">
        <v>57</v>
      </c>
      <c r="B29">
        <v>1</v>
      </c>
      <c r="C29" s="2">
        <f>'Tennessee counties'!B30</f>
        <v>15512</v>
      </c>
      <c r="D29" s="2">
        <f t="shared" si="7"/>
        <v>20410.262626262625</v>
      </c>
      <c r="E29" s="2">
        <f t="shared" si="0"/>
        <v>-4898.2626262626254</v>
      </c>
      <c r="F29" s="2">
        <f>'Tennessee counties'!C30</f>
        <v>13888</v>
      </c>
      <c r="G29" s="2">
        <f t="shared" si="8"/>
        <v>22068.575757575756</v>
      </c>
      <c r="H29" s="2">
        <f t="shared" si="1"/>
        <v>-8180.5757575757561</v>
      </c>
      <c r="I29">
        <f>'Tennessee counties'!D57</f>
        <v>14922</v>
      </c>
      <c r="J29" s="2">
        <f t="shared" si="9"/>
        <v>23615</v>
      </c>
      <c r="K29" s="2">
        <f t="shared" si="2"/>
        <v>-8693</v>
      </c>
      <c r="L29">
        <f>'Tennessee counties'!E57</f>
        <v>13872</v>
      </c>
      <c r="M29" s="2">
        <f t="shared" si="10"/>
        <v>26429.858585858587</v>
      </c>
      <c r="N29" s="2">
        <f t="shared" si="3"/>
        <v>-12557.858585858587</v>
      </c>
      <c r="O29">
        <f>'Tennessee counties'!F57</f>
        <v>14904</v>
      </c>
      <c r="P29" s="2">
        <f t="shared" si="11"/>
        <v>29452.939393939392</v>
      </c>
      <c r="Q29" s="2">
        <f t="shared" si="4"/>
        <v>-14548.939393939392</v>
      </c>
      <c r="R29">
        <f>'Tennessee counties'!G57</f>
        <v>13599</v>
      </c>
      <c r="S29" s="2">
        <f t="shared" si="12"/>
        <v>33249.67676767677</v>
      </c>
      <c r="T29" s="2">
        <f t="shared" si="5"/>
        <v>-19650.67676767677</v>
      </c>
      <c r="U29">
        <f>'Tennessee counties'!H57</f>
        <v>12197</v>
      </c>
      <c r="V29" s="2">
        <f t="shared" si="13"/>
        <v>36031.202020202021</v>
      </c>
      <c r="W29" s="2">
        <f t="shared" si="6"/>
        <v>-23834.202020202021</v>
      </c>
    </row>
    <row r="30" spans="1:23" x14ac:dyDescent="0.25">
      <c r="A30" t="s">
        <v>58</v>
      </c>
      <c r="B30">
        <v>1</v>
      </c>
      <c r="C30" s="2">
        <f>'Tennessee counties'!B31</f>
        <v>30596</v>
      </c>
      <c r="D30" s="2">
        <f t="shared" si="7"/>
        <v>20410.262626262625</v>
      </c>
      <c r="E30" s="2">
        <f t="shared" si="0"/>
        <v>10185.737373737375</v>
      </c>
      <c r="F30" s="2">
        <f>'Tennessee counties'!C31</f>
        <v>31083</v>
      </c>
      <c r="G30" s="2">
        <f t="shared" si="8"/>
        <v>22068.575757575756</v>
      </c>
      <c r="H30" s="2">
        <f t="shared" si="1"/>
        <v>9014.4242424242439</v>
      </c>
      <c r="I30">
        <f>'Tennessee counties'!D58</f>
        <v>43824</v>
      </c>
      <c r="J30" s="2">
        <f t="shared" si="9"/>
        <v>23615</v>
      </c>
      <c r="K30" s="2">
        <f t="shared" si="2"/>
        <v>20209</v>
      </c>
      <c r="L30">
        <f>'Tennessee counties'!E58</f>
        <v>51059</v>
      </c>
      <c r="M30" s="2">
        <f t="shared" si="10"/>
        <v>26429.858585858587</v>
      </c>
      <c r="N30" s="2">
        <f t="shared" si="3"/>
        <v>24629.141414141413</v>
      </c>
      <c r="O30">
        <f>'Tennessee counties'!F58</f>
        <v>54115</v>
      </c>
      <c r="P30" s="2">
        <f t="shared" si="11"/>
        <v>29452.939393939392</v>
      </c>
      <c r="Q30" s="2">
        <f t="shared" si="4"/>
        <v>24662.060606060608</v>
      </c>
      <c r="R30">
        <f>'Tennessee counties'!G58</f>
        <v>60128</v>
      </c>
      <c r="S30" s="2">
        <f t="shared" si="12"/>
        <v>33249.67676767677</v>
      </c>
      <c r="T30" s="2">
        <f t="shared" si="5"/>
        <v>26878.32323232323</v>
      </c>
      <c r="U30">
        <f>'Tennessee counties'!H58</f>
        <v>60655</v>
      </c>
      <c r="V30" s="2">
        <f t="shared" si="13"/>
        <v>36031.202020202021</v>
      </c>
      <c r="W30" s="2">
        <f t="shared" si="6"/>
        <v>24623.797979797979</v>
      </c>
    </row>
    <row r="31" spans="1:23" x14ac:dyDescent="0.25">
      <c r="A31" t="s">
        <v>59</v>
      </c>
      <c r="B31">
        <v>1</v>
      </c>
      <c r="C31" s="2">
        <f>'Tennessee counties'!B32</f>
        <v>7802</v>
      </c>
      <c r="D31" s="2">
        <f t="shared" si="7"/>
        <v>20410.262626262625</v>
      </c>
      <c r="E31" s="2">
        <f t="shared" si="0"/>
        <v>-12608.262626262625</v>
      </c>
      <c r="F31" s="2">
        <f>'Tennessee counties'!C32</f>
        <v>8322</v>
      </c>
      <c r="G31" s="2">
        <f t="shared" si="8"/>
        <v>22068.575757575756</v>
      </c>
      <c r="H31" s="2">
        <f t="shared" si="1"/>
        <v>-13746.575757575756</v>
      </c>
      <c r="I31">
        <f>'Tennessee counties'!D59</f>
        <v>17402</v>
      </c>
      <c r="J31" s="2">
        <f t="shared" si="9"/>
        <v>23615</v>
      </c>
      <c r="K31" s="2">
        <f t="shared" si="2"/>
        <v>-6213</v>
      </c>
      <c r="L31">
        <f>'Tennessee counties'!E59</f>
        <v>17549</v>
      </c>
      <c r="M31" s="2">
        <f t="shared" si="10"/>
        <v>26429.858585858587</v>
      </c>
      <c r="N31" s="2">
        <f t="shared" si="3"/>
        <v>-8880.8585858585866</v>
      </c>
      <c r="O31">
        <f>'Tennessee counties'!F59</f>
        <v>19140</v>
      </c>
      <c r="P31" s="2">
        <f t="shared" si="11"/>
        <v>29452.939393939392</v>
      </c>
      <c r="Q31" s="2">
        <f t="shared" si="4"/>
        <v>-10312.939393939392</v>
      </c>
      <c r="R31">
        <f>'Tennessee counties'!G59</f>
        <v>20520</v>
      </c>
      <c r="S31" s="2">
        <f t="shared" si="12"/>
        <v>33249.67676767677</v>
      </c>
      <c r="T31" s="2">
        <f t="shared" si="5"/>
        <v>-12729.67676767677</v>
      </c>
      <c r="U31">
        <f>'Tennessee counties'!H59</f>
        <v>21036</v>
      </c>
      <c r="V31" s="2">
        <f t="shared" si="13"/>
        <v>36031.202020202021</v>
      </c>
      <c r="W31" s="2">
        <f t="shared" si="6"/>
        <v>-14995.202020202021</v>
      </c>
    </row>
    <row r="32" spans="1:23" x14ac:dyDescent="0.25">
      <c r="A32" t="s">
        <v>63</v>
      </c>
      <c r="B32">
        <v>1</v>
      </c>
      <c r="C32" s="2">
        <f>'Tennessee counties'!B33</f>
        <v>12728</v>
      </c>
      <c r="D32" s="2">
        <f t="shared" si="7"/>
        <v>20410.262626262625</v>
      </c>
      <c r="E32" s="2">
        <f t="shared" si="0"/>
        <v>-7682.2626262626254</v>
      </c>
      <c r="F32" s="2">
        <f>'Tennessee counties'!C33</f>
        <v>13650</v>
      </c>
      <c r="G32" s="2">
        <f t="shared" si="8"/>
        <v>22068.575757575756</v>
      </c>
      <c r="H32" s="2">
        <f t="shared" si="1"/>
        <v>-8418.5757575757561</v>
      </c>
      <c r="I32">
        <f>'Tennessee counties'!D63</f>
        <v>22060</v>
      </c>
      <c r="J32" s="2">
        <f t="shared" si="9"/>
        <v>23615</v>
      </c>
      <c r="K32" s="2">
        <f t="shared" si="2"/>
        <v>-1555</v>
      </c>
      <c r="L32">
        <f>'Tennessee counties'!E63</f>
        <v>21377</v>
      </c>
      <c r="M32" s="2">
        <f t="shared" si="10"/>
        <v>26429.858585858587</v>
      </c>
      <c r="N32" s="2">
        <f t="shared" si="3"/>
        <v>-5052.8585858585866</v>
      </c>
      <c r="O32">
        <f>'Tennessee counties'!F63</f>
        <v>24275</v>
      </c>
      <c r="P32" s="2">
        <f t="shared" si="11"/>
        <v>29452.939393939392</v>
      </c>
      <c r="Q32" s="2">
        <f t="shared" si="4"/>
        <v>-5177.9393939393922</v>
      </c>
      <c r="R32">
        <f>'Tennessee counties'!G63</f>
        <v>24513</v>
      </c>
      <c r="S32" s="2">
        <f t="shared" si="12"/>
        <v>33249.67676767677</v>
      </c>
      <c r="T32" s="2">
        <f t="shared" si="5"/>
        <v>-8736.6767676767704</v>
      </c>
      <c r="U32">
        <f>'Tennessee counties'!H63</f>
        <v>23316</v>
      </c>
      <c r="V32" s="2">
        <f t="shared" si="13"/>
        <v>36031.202020202021</v>
      </c>
      <c r="W32" s="2">
        <f t="shared" si="6"/>
        <v>-12715.202020202021</v>
      </c>
    </row>
    <row r="33" spans="1:23" x14ac:dyDescent="0.25">
      <c r="A33" t="s">
        <v>64</v>
      </c>
      <c r="B33">
        <v>1</v>
      </c>
      <c r="C33" s="2">
        <f>'Tennessee counties'!B34</f>
        <v>67102</v>
      </c>
      <c r="D33" s="2">
        <f t="shared" si="7"/>
        <v>20410.262626262625</v>
      </c>
      <c r="E33" s="2">
        <f t="shared" si="0"/>
        <v>46691.737373737371</v>
      </c>
      <c r="F33" s="2">
        <f>'Tennessee counties'!C34</f>
        <v>94477</v>
      </c>
      <c r="G33" s="2">
        <f t="shared" si="8"/>
        <v>22068.575757575756</v>
      </c>
      <c r="H33" s="2">
        <f t="shared" si="1"/>
        <v>72408.42424242424</v>
      </c>
      <c r="I33">
        <f>'Tennessee counties'!D64</f>
        <v>32265</v>
      </c>
      <c r="J33" s="2">
        <f t="shared" si="9"/>
        <v>23615</v>
      </c>
      <c r="K33" s="2">
        <f t="shared" si="2"/>
        <v>8650</v>
      </c>
      <c r="L33">
        <f>'Tennessee counties'!E64</f>
        <v>30882</v>
      </c>
      <c r="M33" s="2">
        <f t="shared" si="10"/>
        <v>26429.858585858587</v>
      </c>
      <c r="N33" s="2">
        <f t="shared" si="3"/>
        <v>4452.1414141414134</v>
      </c>
      <c r="O33">
        <f>'Tennessee counties'!F64</f>
        <v>33346</v>
      </c>
      <c r="P33" s="2">
        <f t="shared" si="11"/>
        <v>29452.939393939392</v>
      </c>
      <c r="Q33" s="2">
        <f t="shared" si="4"/>
        <v>3893.0606060606078</v>
      </c>
      <c r="R33">
        <f>'Tennessee counties'!G64</f>
        <v>44186</v>
      </c>
      <c r="S33" s="2">
        <f t="shared" si="12"/>
        <v>33249.67676767677</v>
      </c>
      <c r="T33" s="2">
        <f t="shared" si="5"/>
        <v>10936.32323232323</v>
      </c>
      <c r="U33">
        <f>'Tennessee counties'!H64</f>
        <v>55645</v>
      </c>
      <c r="V33" s="2">
        <f t="shared" si="13"/>
        <v>36031.202020202021</v>
      </c>
      <c r="W33" s="2">
        <f t="shared" si="6"/>
        <v>19613.797979797979</v>
      </c>
    </row>
    <row r="34" spans="1:23" x14ac:dyDescent="0.25">
      <c r="A34" t="s">
        <v>65</v>
      </c>
      <c r="B34">
        <v>1</v>
      </c>
      <c r="C34" s="2">
        <f>'Tennessee counties'!B35</f>
        <v>11147</v>
      </c>
      <c r="D34" s="2">
        <f t="shared" si="7"/>
        <v>20410.262626262625</v>
      </c>
      <c r="E34" s="2">
        <f t="shared" si="0"/>
        <v>-9263.2626262626254</v>
      </c>
      <c r="F34" s="2">
        <f>'Tennessee counties'!C35</f>
        <v>10778</v>
      </c>
      <c r="G34" s="2">
        <f t="shared" si="8"/>
        <v>22068.575757575756</v>
      </c>
      <c r="H34" s="2">
        <f t="shared" si="1"/>
        <v>-11290.575757575756</v>
      </c>
      <c r="I34">
        <f>'Tennessee counties'!D65</f>
        <v>4491</v>
      </c>
      <c r="J34" s="2">
        <f t="shared" si="9"/>
        <v>23615</v>
      </c>
      <c r="K34" s="2">
        <f t="shared" si="2"/>
        <v>-19124</v>
      </c>
      <c r="L34">
        <f>'Tennessee counties'!E65</f>
        <v>4037</v>
      </c>
      <c r="M34" s="2">
        <f t="shared" si="10"/>
        <v>26429.858585858587</v>
      </c>
      <c r="N34" s="2">
        <f t="shared" si="3"/>
        <v>-22392.858585858587</v>
      </c>
      <c r="O34">
        <f>'Tennessee counties'!F65</f>
        <v>4093</v>
      </c>
      <c r="P34" s="2">
        <f t="shared" si="11"/>
        <v>29452.939393939392</v>
      </c>
      <c r="Q34" s="2">
        <f t="shared" si="4"/>
        <v>-25359.939393939392</v>
      </c>
      <c r="R34">
        <f>'Tennessee counties'!G65</f>
        <v>3948</v>
      </c>
      <c r="S34" s="2">
        <f t="shared" si="12"/>
        <v>33249.67676767677</v>
      </c>
      <c r="T34" s="2">
        <f t="shared" si="5"/>
        <v>-29301.67676767677</v>
      </c>
      <c r="U34">
        <f>'Tennessee counties'!H65</f>
        <v>3454</v>
      </c>
      <c r="V34" s="2">
        <f t="shared" si="13"/>
        <v>36031.202020202021</v>
      </c>
      <c r="W34" s="2">
        <f t="shared" si="6"/>
        <v>-32577.202020202021</v>
      </c>
    </row>
    <row r="35" spans="1:23" x14ac:dyDescent="0.25">
      <c r="A35" t="s">
        <v>60</v>
      </c>
      <c r="B35">
        <v>1</v>
      </c>
      <c r="C35" s="2">
        <f>'Tennessee counties'!B36</f>
        <v>22976</v>
      </c>
      <c r="D35" s="2">
        <f t="shared" si="7"/>
        <v>20410.262626262625</v>
      </c>
      <c r="E35" s="2">
        <f t="shared" si="0"/>
        <v>2565.7373737373746</v>
      </c>
      <c r="F35" s="2">
        <f>'Tennessee counties'!C36</f>
        <v>23011</v>
      </c>
      <c r="G35" s="2">
        <f t="shared" si="8"/>
        <v>22068.575757575756</v>
      </c>
      <c r="H35" s="2">
        <f t="shared" si="1"/>
        <v>942.42424242424386</v>
      </c>
      <c r="I35">
        <f>'Tennessee counties'!D60</f>
        <v>17375</v>
      </c>
      <c r="J35" s="2">
        <f t="shared" si="9"/>
        <v>23615</v>
      </c>
      <c r="K35" s="2">
        <f t="shared" si="2"/>
        <v>-6240</v>
      </c>
      <c r="L35">
        <f>'Tennessee counties'!E60</f>
        <v>15574</v>
      </c>
      <c r="M35" s="2">
        <f t="shared" si="10"/>
        <v>26429.858585858587</v>
      </c>
      <c r="N35" s="2">
        <f t="shared" si="3"/>
        <v>-10855.858585858587</v>
      </c>
      <c r="O35">
        <f>'Tennessee counties'!F60</f>
        <v>16030</v>
      </c>
      <c r="P35" s="2">
        <f t="shared" si="11"/>
        <v>29452.939393939392</v>
      </c>
      <c r="Q35" s="2">
        <f t="shared" si="4"/>
        <v>-13422.939393939392</v>
      </c>
      <c r="R35">
        <f>'Tennessee counties'!G60</f>
        <v>17768</v>
      </c>
      <c r="S35" s="2">
        <f t="shared" si="12"/>
        <v>33249.67676767677</v>
      </c>
      <c r="T35" s="2">
        <f t="shared" si="5"/>
        <v>-15481.67676767677</v>
      </c>
      <c r="U35">
        <f>'Tennessee counties'!H60</f>
        <v>16859</v>
      </c>
      <c r="V35" s="2">
        <f t="shared" si="13"/>
        <v>36031.202020202021</v>
      </c>
      <c r="W35" s="2">
        <f t="shared" si="6"/>
        <v>-19172.202020202021</v>
      </c>
    </row>
    <row r="36" spans="1:23" x14ac:dyDescent="0.25">
      <c r="A36" t="s">
        <v>61</v>
      </c>
      <c r="B36">
        <v>1</v>
      </c>
      <c r="C36" s="2">
        <f>'Tennessee counties'!B37</f>
        <v>19246</v>
      </c>
      <c r="D36" s="2">
        <f t="shared" si="7"/>
        <v>20410.262626262625</v>
      </c>
      <c r="E36" s="2">
        <f t="shared" si="0"/>
        <v>-1164.2626262626254</v>
      </c>
      <c r="F36" s="2">
        <f>'Tennessee counties'!C37</f>
        <v>17521</v>
      </c>
      <c r="G36" s="2">
        <f t="shared" si="8"/>
        <v>22068.575757575756</v>
      </c>
      <c r="H36" s="2">
        <f t="shared" si="1"/>
        <v>-4547.5757575757561</v>
      </c>
      <c r="I36">
        <f>'Tennessee counties'!D61</f>
        <v>35403</v>
      </c>
      <c r="J36" s="2">
        <f t="shared" si="9"/>
        <v>23615</v>
      </c>
      <c r="K36" s="2">
        <f t="shared" si="2"/>
        <v>11788</v>
      </c>
      <c r="L36">
        <f>'Tennessee counties'!E61</f>
        <v>34016</v>
      </c>
      <c r="M36" s="2">
        <f t="shared" si="10"/>
        <v>26429.858585858587</v>
      </c>
      <c r="N36" s="2">
        <f t="shared" si="3"/>
        <v>7586.1414141414134</v>
      </c>
      <c r="O36">
        <f>'Tennessee counties'!F61</f>
        <v>40357</v>
      </c>
      <c r="P36" s="2">
        <f t="shared" si="11"/>
        <v>29452.939393939392</v>
      </c>
      <c r="Q36" s="2">
        <f t="shared" si="4"/>
        <v>10904.060606060608</v>
      </c>
      <c r="R36">
        <f>'Tennessee counties'!G61</f>
        <v>40368</v>
      </c>
      <c r="S36" s="2">
        <f t="shared" si="12"/>
        <v>33249.67676767677</v>
      </c>
      <c r="T36" s="2">
        <f t="shared" si="5"/>
        <v>7118.3232323232296</v>
      </c>
      <c r="U36">
        <f>'Tennessee counties'!H61</f>
        <v>41699</v>
      </c>
      <c r="V36" s="2">
        <f t="shared" si="13"/>
        <v>36031.202020202021</v>
      </c>
      <c r="W36" s="2">
        <f t="shared" si="6"/>
        <v>5667.7979797979788</v>
      </c>
    </row>
    <row r="37" spans="1:23" x14ac:dyDescent="0.25">
      <c r="A37" t="s">
        <v>67</v>
      </c>
      <c r="B37">
        <v>1</v>
      </c>
      <c r="C37" s="2">
        <f>'Tennessee counties'!B38</f>
        <v>24267</v>
      </c>
      <c r="D37" s="2">
        <f t="shared" si="7"/>
        <v>20410.262626262625</v>
      </c>
      <c r="E37" s="2">
        <f t="shared" si="0"/>
        <v>3856.7373737373746</v>
      </c>
      <c r="F37" s="2">
        <f>'Tennessee counties'!C38</f>
        <v>23587</v>
      </c>
      <c r="G37" s="2">
        <f t="shared" si="8"/>
        <v>22068.575757575756</v>
      </c>
      <c r="H37" s="2">
        <f t="shared" si="1"/>
        <v>1518.4242424242439</v>
      </c>
      <c r="I37">
        <f>'Tennessee counties'!D67</f>
        <v>28393</v>
      </c>
      <c r="J37" s="2">
        <f t="shared" si="9"/>
        <v>23615</v>
      </c>
      <c r="K37" s="2">
        <f t="shared" si="2"/>
        <v>4778</v>
      </c>
      <c r="L37">
        <f>'Tennessee counties'!E67</f>
        <v>29086</v>
      </c>
      <c r="M37" s="2">
        <f t="shared" si="10"/>
        <v>26429.858585858587</v>
      </c>
      <c r="N37" s="2">
        <f t="shared" si="3"/>
        <v>2656.1414141414134</v>
      </c>
      <c r="O37">
        <f>'Tennessee counties'!F67</f>
        <v>30978</v>
      </c>
      <c r="P37" s="2">
        <f t="shared" si="11"/>
        <v>29452.939393939392</v>
      </c>
      <c r="Q37" s="2">
        <f t="shared" si="4"/>
        <v>1525.0606060606078</v>
      </c>
      <c r="R37">
        <f>'Tennessee counties'!G67</f>
        <v>29056</v>
      </c>
      <c r="S37" s="2">
        <f t="shared" si="12"/>
        <v>33249.67676767677</v>
      </c>
      <c r="T37" s="2">
        <f t="shared" si="5"/>
        <v>-4193.6767676767704</v>
      </c>
      <c r="U37">
        <f>'Tennessee counties'!H67</f>
        <v>26957</v>
      </c>
      <c r="V37" s="2">
        <f t="shared" si="13"/>
        <v>36031.202020202021</v>
      </c>
      <c r="W37" s="2">
        <f t="shared" si="6"/>
        <v>-9074.2020202020212</v>
      </c>
    </row>
    <row r="38" spans="1:23" x14ac:dyDescent="0.25">
      <c r="A38" t="s">
        <v>68</v>
      </c>
      <c r="B38">
        <v>1</v>
      </c>
      <c r="C38" s="2">
        <f>'Tennessee counties'!B39</f>
        <v>25189</v>
      </c>
      <c r="D38" s="2">
        <f t="shared" si="7"/>
        <v>20410.262626262625</v>
      </c>
      <c r="E38" s="2">
        <f t="shared" si="0"/>
        <v>4778.7373737373746</v>
      </c>
      <c r="F38" s="2">
        <f>'Tennessee counties'!C39</f>
        <v>25910</v>
      </c>
      <c r="G38" s="2">
        <f t="shared" si="8"/>
        <v>22068.575757575756</v>
      </c>
      <c r="H38" s="2">
        <f t="shared" si="1"/>
        <v>3841.4242424242439</v>
      </c>
      <c r="I38">
        <f>'Tennessee counties'!D68</f>
        <v>17617</v>
      </c>
      <c r="J38" s="2">
        <f t="shared" si="9"/>
        <v>23615</v>
      </c>
      <c r="K38" s="2">
        <f t="shared" si="2"/>
        <v>-5998</v>
      </c>
      <c r="L38">
        <f>'Tennessee counties'!E68</f>
        <v>18079</v>
      </c>
      <c r="M38" s="2">
        <f t="shared" si="10"/>
        <v>26429.858585858587</v>
      </c>
      <c r="N38" s="2">
        <f t="shared" si="3"/>
        <v>-8350.8585858585866</v>
      </c>
      <c r="O38">
        <f>'Tennessee counties'!F68</f>
        <v>18883</v>
      </c>
      <c r="P38" s="2">
        <f t="shared" si="11"/>
        <v>29452.939393939392</v>
      </c>
      <c r="Q38" s="2">
        <f t="shared" si="4"/>
        <v>-10569.939393939392</v>
      </c>
      <c r="R38">
        <f>'Tennessee counties'!G68</f>
        <v>17566</v>
      </c>
      <c r="S38" s="2">
        <f t="shared" si="12"/>
        <v>33249.67676767677</v>
      </c>
      <c r="T38" s="2">
        <f t="shared" si="5"/>
        <v>-15683.67676767677</v>
      </c>
      <c r="U38">
        <f>'Tennessee counties'!H68</f>
        <v>14661</v>
      </c>
      <c r="V38" s="2">
        <f t="shared" si="13"/>
        <v>36031.202020202021</v>
      </c>
      <c r="W38" s="2">
        <f t="shared" si="6"/>
        <v>-21370.202020202021</v>
      </c>
    </row>
    <row r="39" spans="1:23" x14ac:dyDescent="0.25">
      <c r="A39" t="s">
        <v>72</v>
      </c>
      <c r="B39">
        <v>1</v>
      </c>
      <c r="C39" s="2">
        <f>'Tennessee counties'!B40</f>
        <v>18117</v>
      </c>
      <c r="D39" s="2">
        <f t="shared" si="7"/>
        <v>20410.262626262625</v>
      </c>
      <c r="E39" s="2">
        <f t="shared" si="0"/>
        <v>-2293.2626262626254</v>
      </c>
      <c r="F39" s="2">
        <f>'Tennessee counties'!C40</f>
        <v>17030</v>
      </c>
      <c r="G39" s="2">
        <f t="shared" si="8"/>
        <v>22068.575757575756</v>
      </c>
      <c r="H39" s="2">
        <f t="shared" si="1"/>
        <v>-5038.5757575757561</v>
      </c>
      <c r="I39">
        <f>'Tennessee counties'!D72</f>
        <v>22231</v>
      </c>
      <c r="J39" s="2">
        <f t="shared" si="9"/>
        <v>23615</v>
      </c>
      <c r="K39" s="2">
        <f t="shared" si="2"/>
        <v>-1384</v>
      </c>
      <c r="L39">
        <f>'Tennessee counties'!E72</f>
        <v>23759</v>
      </c>
      <c r="M39" s="2">
        <f t="shared" si="10"/>
        <v>26429.858585858587</v>
      </c>
      <c r="N39" s="2">
        <f t="shared" si="3"/>
        <v>-2670.8585858585866</v>
      </c>
      <c r="O39">
        <f>'Tennessee counties'!F72</f>
        <v>26250</v>
      </c>
      <c r="P39" s="2">
        <f t="shared" si="11"/>
        <v>29452.939393939392</v>
      </c>
      <c r="Q39" s="2">
        <f t="shared" si="4"/>
        <v>-3202.9393939393922</v>
      </c>
      <c r="R39">
        <f>'Tennessee counties'!G72</f>
        <v>29869</v>
      </c>
      <c r="S39" s="2">
        <f t="shared" si="12"/>
        <v>33249.67676767677</v>
      </c>
      <c r="T39" s="2">
        <f t="shared" si="5"/>
        <v>-3380.6767676767704</v>
      </c>
      <c r="U39">
        <f>'Tennessee counties'!H72</f>
        <v>29236</v>
      </c>
      <c r="V39" s="2">
        <f t="shared" si="13"/>
        <v>36031.202020202021</v>
      </c>
      <c r="W39" s="2">
        <f t="shared" si="6"/>
        <v>-6795.2020202020212</v>
      </c>
    </row>
    <row r="40" spans="1:23" x14ac:dyDescent="0.25">
      <c r="A40" t="s">
        <v>74</v>
      </c>
      <c r="B40">
        <v>1</v>
      </c>
      <c r="C40" s="2">
        <f>'Tennessee counties'!B41</f>
        <v>24208</v>
      </c>
      <c r="D40" s="2">
        <f t="shared" si="7"/>
        <v>20410.262626262625</v>
      </c>
      <c r="E40" s="2">
        <f t="shared" si="0"/>
        <v>3797.7373737373746</v>
      </c>
      <c r="F40" s="2">
        <f>'Tennessee counties'!C41</f>
        <v>25434</v>
      </c>
      <c r="G40" s="2">
        <f t="shared" si="8"/>
        <v>22068.575757575756</v>
      </c>
      <c r="H40" s="2">
        <f t="shared" si="1"/>
        <v>3365.4242424242439</v>
      </c>
      <c r="I40">
        <f>'Tennessee counties'!D74</f>
        <v>24624</v>
      </c>
      <c r="J40" s="2">
        <f t="shared" si="9"/>
        <v>23615</v>
      </c>
      <c r="K40" s="2">
        <f t="shared" si="2"/>
        <v>1009</v>
      </c>
      <c r="L40">
        <f>'Tennessee counties'!E74</f>
        <v>24477</v>
      </c>
      <c r="M40" s="2">
        <f t="shared" si="10"/>
        <v>26429.858585858587</v>
      </c>
      <c r="N40" s="2">
        <f t="shared" si="3"/>
        <v>-1952.8585858585866</v>
      </c>
      <c r="O40">
        <f>'Tennessee counties'!F74</f>
        <v>27795</v>
      </c>
      <c r="P40" s="2">
        <f t="shared" si="11"/>
        <v>29452.939393939392</v>
      </c>
      <c r="Q40" s="2">
        <f t="shared" si="4"/>
        <v>-1657.9393939393922</v>
      </c>
      <c r="R40">
        <f>'Tennessee counties'!G74</f>
        <v>31665</v>
      </c>
      <c r="S40" s="2">
        <f t="shared" si="12"/>
        <v>33249.67676767677</v>
      </c>
      <c r="T40" s="2">
        <f t="shared" si="5"/>
        <v>-1584.6767676767704</v>
      </c>
      <c r="U40">
        <f>'Tennessee counties'!H74</f>
        <v>39133</v>
      </c>
      <c r="V40" s="2">
        <f t="shared" si="13"/>
        <v>36031.202020202021</v>
      </c>
      <c r="W40" s="2">
        <f t="shared" si="6"/>
        <v>3101.7979797979788</v>
      </c>
    </row>
    <row r="41" spans="1:23" x14ac:dyDescent="0.25">
      <c r="A41" t="s">
        <v>75</v>
      </c>
      <c r="B41">
        <v>1</v>
      </c>
      <c r="C41" s="2">
        <f>'Tennessee counties'!B42</f>
        <v>16367</v>
      </c>
      <c r="D41" s="2">
        <f t="shared" si="7"/>
        <v>20410.262626262625</v>
      </c>
      <c r="E41" s="2">
        <f t="shared" si="0"/>
        <v>-4043.2626262626254</v>
      </c>
      <c r="F41" s="2">
        <f>'Tennessee counties'!C42</f>
        <v>16527</v>
      </c>
      <c r="G41" s="2">
        <f t="shared" si="8"/>
        <v>22068.575757575756</v>
      </c>
      <c r="H41" s="2">
        <f t="shared" si="1"/>
        <v>-5541.5757575757561</v>
      </c>
      <c r="I41">
        <f>'Tennessee counties'!D75</f>
        <v>25621</v>
      </c>
      <c r="J41" s="2">
        <f t="shared" si="9"/>
        <v>23615</v>
      </c>
      <c r="K41" s="2">
        <f t="shared" si="2"/>
        <v>2006</v>
      </c>
      <c r="L41">
        <f>'Tennessee counties'!E75</f>
        <v>28191</v>
      </c>
      <c r="M41" s="2">
        <f t="shared" si="10"/>
        <v>26429.858585858587</v>
      </c>
      <c r="N41" s="2">
        <f t="shared" si="3"/>
        <v>1761.1414141414134</v>
      </c>
      <c r="O41">
        <f>'Tennessee counties'!F75</f>
        <v>29046</v>
      </c>
      <c r="P41" s="2">
        <f t="shared" si="11"/>
        <v>29452.939393939392</v>
      </c>
      <c r="Q41" s="2">
        <f t="shared" si="4"/>
        <v>-406.93939393939218</v>
      </c>
      <c r="R41">
        <f>'Tennessee counties'!G75</f>
        <v>27024</v>
      </c>
      <c r="S41" s="2">
        <f t="shared" si="12"/>
        <v>33249.67676767677</v>
      </c>
      <c r="T41" s="2">
        <f t="shared" si="5"/>
        <v>-6225.6767676767704</v>
      </c>
      <c r="U41">
        <f>'Tennessee counties'!H75</f>
        <v>27335</v>
      </c>
      <c r="V41" s="2">
        <f t="shared" si="13"/>
        <v>36031.202020202021</v>
      </c>
      <c r="W41" s="2">
        <f t="shared" si="6"/>
        <v>-8696.2020202020212</v>
      </c>
    </row>
    <row r="42" spans="1:23" x14ac:dyDescent="0.25">
      <c r="A42" t="s">
        <v>76</v>
      </c>
      <c r="B42">
        <v>1</v>
      </c>
      <c r="C42" s="2">
        <f>'Tennessee counties'!B43</f>
        <v>6476</v>
      </c>
      <c r="D42" s="2">
        <f t="shared" si="7"/>
        <v>20410.262626262625</v>
      </c>
      <c r="E42" s="2">
        <f t="shared" si="0"/>
        <v>-13934.262626262625</v>
      </c>
      <c r="F42" s="2">
        <f>'Tennessee counties'!C43</f>
        <v>6224</v>
      </c>
      <c r="G42" s="2">
        <f t="shared" si="8"/>
        <v>22068.575757575756</v>
      </c>
      <c r="H42" s="2">
        <f t="shared" si="1"/>
        <v>-15844.575757575756</v>
      </c>
      <c r="I42">
        <f>'Tennessee counties'!D76</f>
        <v>33059</v>
      </c>
      <c r="J42" s="2">
        <f t="shared" si="9"/>
        <v>23615</v>
      </c>
      <c r="K42" s="2">
        <f t="shared" si="2"/>
        <v>9444</v>
      </c>
      <c r="L42">
        <f>'Tennessee counties'!E76</f>
        <v>32286</v>
      </c>
      <c r="M42" s="2">
        <f t="shared" si="10"/>
        <v>26429.858585858587</v>
      </c>
      <c r="N42" s="2">
        <f t="shared" si="3"/>
        <v>5856.1414141414134</v>
      </c>
      <c r="O42">
        <f>'Tennessee counties'!F76</f>
        <v>33604</v>
      </c>
      <c r="P42" s="2">
        <f t="shared" si="11"/>
        <v>29452.939393939392</v>
      </c>
      <c r="Q42" s="2">
        <f t="shared" si="4"/>
        <v>4151.0606060606078</v>
      </c>
      <c r="R42">
        <f>'Tennessee counties'!G76</f>
        <v>40696</v>
      </c>
      <c r="S42" s="2">
        <f t="shared" si="12"/>
        <v>33249.67676767677</v>
      </c>
      <c r="T42" s="2">
        <f t="shared" si="5"/>
        <v>7446.3232323232296</v>
      </c>
      <c r="U42">
        <f>'Tennessee counties'!H76</f>
        <v>52368</v>
      </c>
      <c r="V42" s="2">
        <f t="shared" si="13"/>
        <v>36031.202020202021</v>
      </c>
      <c r="W42" s="2">
        <f t="shared" si="6"/>
        <v>16336.797979797979</v>
      </c>
    </row>
    <row r="43" spans="1:23" x14ac:dyDescent="0.25">
      <c r="A43" t="s">
        <v>79</v>
      </c>
      <c r="B43">
        <v>1</v>
      </c>
      <c r="C43" s="2">
        <f>'Tennessee counties'!B44</f>
        <v>13398</v>
      </c>
      <c r="D43" s="2">
        <f t="shared" si="7"/>
        <v>20410.262626262625</v>
      </c>
      <c r="E43" s="2">
        <f t="shared" si="0"/>
        <v>-7012.2626262626254</v>
      </c>
      <c r="F43" s="2">
        <f>'Tennessee counties'!C44</f>
        <v>13908</v>
      </c>
      <c r="G43" s="2">
        <f t="shared" si="8"/>
        <v>22068.575757575756</v>
      </c>
      <c r="H43" s="2">
        <f t="shared" si="1"/>
        <v>-8160.5757575757561</v>
      </c>
      <c r="I43">
        <f>'Tennessee counties'!D79</f>
        <v>22384</v>
      </c>
      <c r="J43" s="2">
        <f t="shared" si="9"/>
        <v>23615</v>
      </c>
      <c r="K43" s="2">
        <f t="shared" si="2"/>
        <v>-1231</v>
      </c>
      <c r="L43">
        <f>'Tennessee counties'!E79</f>
        <v>20480</v>
      </c>
      <c r="M43" s="2">
        <f t="shared" si="10"/>
        <v>26429.858585858587</v>
      </c>
      <c r="N43" s="2">
        <f t="shared" si="3"/>
        <v>-5949.8585858585866</v>
      </c>
      <c r="O43">
        <f>'Tennessee counties'!F79</f>
        <v>23291</v>
      </c>
      <c r="P43" s="2">
        <f t="shared" si="11"/>
        <v>29452.939393939392</v>
      </c>
      <c r="Q43" s="2">
        <f t="shared" si="4"/>
        <v>-6161.9393939393922</v>
      </c>
      <c r="R43">
        <f>'Tennessee counties'!G79</f>
        <v>23375</v>
      </c>
      <c r="S43" s="2">
        <f t="shared" si="12"/>
        <v>33249.67676767677</v>
      </c>
      <c r="T43" s="2">
        <f t="shared" si="5"/>
        <v>-9874.6767676767704</v>
      </c>
      <c r="U43">
        <f>'Tennessee counties'!H79</f>
        <v>24251</v>
      </c>
      <c r="V43" s="2">
        <f t="shared" si="13"/>
        <v>36031.202020202021</v>
      </c>
      <c r="W43" s="2">
        <f t="shared" si="6"/>
        <v>-11780.202020202021</v>
      </c>
    </row>
    <row r="44" spans="1:23" x14ac:dyDescent="0.25">
      <c r="A44" t="s">
        <v>81</v>
      </c>
      <c r="B44">
        <v>1</v>
      </c>
      <c r="C44" s="2">
        <f>'Tennessee counties'!B45</f>
        <v>15039</v>
      </c>
      <c r="D44" s="2">
        <f t="shared" si="7"/>
        <v>20410.262626262625</v>
      </c>
      <c r="E44" s="2">
        <f t="shared" si="0"/>
        <v>-5371.2626262626254</v>
      </c>
      <c r="F44" s="2">
        <f>'Tennessee counties'!C45</f>
        <v>15036</v>
      </c>
      <c r="G44" s="2">
        <f t="shared" si="8"/>
        <v>22068.575757575756</v>
      </c>
      <c r="H44" s="2">
        <f t="shared" si="1"/>
        <v>-7032.5757575757561</v>
      </c>
      <c r="I44">
        <f>'Tennessee counties'!D81</f>
        <v>17134</v>
      </c>
      <c r="J44" s="2">
        <f t="shared" si="9"/>
        <v>23615</v>
      </c>
      <c r="K44" s="2">
        <f t="shared" si="2"/>
        <v>-6481</v>
      </c>
      <c r="L44">
        <f>'Tennessee counties'!E81</f>
        <v>15473</v>
      </c>
      <c r="M44" s="2">
        <f t="shared" si="10"/>
        <v>26429.858585858587</v>
      </c>
      <c r="N44" s="2">
        <f t="shared" si="3"/>
        <v>-10956.858585858587</v>
      </c>
      <c r="O44">
        <f>'Tennessee counties'!F81</f>
        <v>16148</v>
      </c>
      <c r="P44" s="2">
        <f t="shared" si="11"/>
        <v>29452.939393939392</v>
      </c>
      <c r="Q44" s="2">
        <f t="shared" si="4"/>
        <v>-13304.939393939392</v>
      </c>
      <c r="R44">
        <f>'Tennessee counties'!G81</f>
        <v>14098</v>
      </c>
      <c r="S44" s="2">
        <f t="shared" si="12"/>
        <v>33249.67676767677</v>
      </c>
      <c r="T44" s="2">
        <f t="shared" si="5"/>
        <v>-19151.67676767677</v>
      </c>
      <c r="U44">
        <f>'Tennessee counties'!H81</f>
        <v>12059</v>
      </c>
      <c r="V44" s="2">
        <f t="shared" si="13"/>
        <v>36031.202020202021</v>
      </c>
      <c r="W44" s="2">
        <f t="shared" si="6"/>
        <v>-23972.202020202021</v>
      </c>
    </row>
    <row r="45" spans="1:23" x14ac:dyDescent="0.25">
      <c r="A45" t="s">
        <v>82</v>
      </c>
      <c r="B45">
        <v>1</v>
      </c>
      <c r="C45" s="2">
        <f>'Tennessee counties'!B46</f>
        <v>18590</v>
      </c>
      <c r="D45" s="2">
        <f t="shared" si="7"/>
        <v>20410.262626262625</v>
      </c>
      <c r="E45" s="2">
        <f t="shared" si="0"/>
        <v>-1820.2626262626254</v>
      </c>
      <c r="F45" s="2">
        <f>'Tennessee counties'!C46</f>
        <v>17755</v>
      </c>
      <c r="G45" s="2">
        <f t="shared" si="8"/>
        <v>22068.575757575756</v>
      </c>
      <c r="H45" s="2">
        <f t="shared" si="1"/>
        <v>-4313.5757575757561</v>
      </c>
      <c r="I45">
        <f>'Tennessee counties'!D82</f>
        <v>14664</v>
      </c>
      <c r="J45" s="2">
        <f t="shared" si="9"/>
        <v>23615</v>
      </c>
      <c r="K45" s="2">
        <f t="shared" si="2"/>
        <v>-8951</v>
      </c>
      <c r="L45">
        <f>'Tennessee counties'!E82</f>
        <v>13278</v>
      </c>
      <c r="M45" s="2">
        <f t="shared" si="10"/>
        <v>26429.858585858587</v>
      </c>
      <c r="N45" s="2">
        <f t="shared" si="3"/>
        <v>-13151.858585858587</v>
      </c>
      <c r="O45">
        <f>'Tennessee counties'!F82</f>
        <v>13549</v>
      </c>
      <c r="P45" s="2">
        <f t="shared" si="11"/>
        <v>29452.939393939392</v>
      </c>
      <c r="Q45" s="2">
        <f t="shared" si="4"/>
        <v>-15903.939393939392</v>
      </c>
      <c r="R45">
        <f>'Tennessee counties'!G82</f>
        <v>9175</v>
      </c>
      <c r="S45" s="2">
        <f t="shared" si="12"/>
        <v>33249.67676767677</v>
      </c>
      <c r="T45" s="2">
        <f t="shared" si="5"/>
        <v>-24074.67676767677</v>
      </c>
      <c r="U45">
        <f>'Tennessee counties'!H82</f>
        <v>7851</v>
      </c>
      <c r="V45" s="2">
        <f t="shared" si="13"/>
        <v>36031.202020202021</v>
      </c>
      <c r="W45" s="2">
        <f t="shared" si="6"/>
        <v>-28180.202020202021</v>
      </c>
    </row>
    <row r="46" spans="1:23" x14ac:dyDescent="0.25">
      <c r="A46" t="s">
        <v>83</v>
      </c>
      <c r="B46">
        <v>1</v>
      </c>
      <c r="C46" s="2">
        <f>'Tennessee counties'!B47</f>
        <v>10589</v>
      </c>
      <c r="D46" s="2">
        <f t="shared" si="7"/>
        <v>20410.262626262625</v>
      </c>
      <c r="E46" s="2">
        <f t="shared" si="0"/>
        <v>-9821.2626262626254</v>
      </c>
      <c r="F46" s="2">
        <f>'Tennessee counties'!C47</f>
        <v>13191</v>
      </c>
      <c r="G46" s="2">
        <f t="shared" si="8"/>
        <v>22068.575757575756</v>
      </c>
      <c r="H46" s="2">
        <f t="shared" si="1"/>
        <v>-8877.5757575757561</v>
      </c>
      <c r="I46">
        <f>'Tennessee counties'!D83</f>
        <v>36259</v>
      </c>
      <c r="J46" s="2">
        <f t="shared" si="9"/>
        <v>23615</v>
      </c>
      <c r="K46" s="2">
        <f t="shared" si="2"/>
        <v>12644</v>
      </c>
      <c r="L46">
        <f>'Tennessee counties'!E83</f>
        <v>51087</v>
      </c>
      <c r="M46" s="2">
        <f t="shared" si="10"/>
        <v>26429.858585858587</v>
      </c>
      <c r="N46" s="2">
        <f t="shared" si="3"/>
        <v>24657.141414141413</v>
      </c>
      <c r="O46">
        <f>'Tennessee counties'!F83</f>
        <v>69085</v>
      </c>
      <c r="P46" s="2">
        <f t="shared" si="11"/>
        <v>29452.939393939392</v>
      </c>
      <c r="Q46" s="2">
        <f t="shared" si="4"/>
        <v>39632.060606060608</v>
      </c>
      <c r="R46">
        <f>'Tennessee counties'!G83</f>
        <v>95063</v>
      </c>
      <c r="S46" s="2">
        <f t="shared" si="12"/>
        <v>33249.67676767677</v>
      </c>
      <c r="T46" s="2">
        <f t="shared" si="5"/>
        <v>61813.32323232323</v>
      </c>
      <c r="U46">
        <f>'Tennessee counties'!H83</f>
        <v>114139</v>
      </c>
      <c r="V46" s="2">
        <f t="shared" si="13"/>
        <v>36031.202020202021</v>
      </c>
      <c r="W46" s="2">
        <f t="shared" si="6"/>
        <v>78107.797979797979</v>
      </c>
    </row>
    <row r="47" spans="1:23" x14ac:dyDescent="0.25">
      <c r="A47" t="s">
        <v>84</v>
      </c>
      <c r="B47">
        <v>1</v>
      </c>
      <c r="C47" s="2">
        <f>'Tennessee counties'!B48</f>
        <v>74302</v>
      </c>
      <c r="D47" s="2">
        <f t="shared" si="7"/>
        <v>20410.262626262625</v>
      </c>
      <c r="E47" s="2">
        <f t="shared" si="0"/>
        <v>53891.737373737371</v>
      </c>
      <c r="F47" s="2">
        <f>'Tennessee counties'!C48</f>
        <v>94187</v>
      </c>
      <c r="G47" s="2">
        <f t="shared" si="8"/>
        <v>22068.575757575756</v>
      </c>
      <c r="H47" s="2">
        <f t="shared" si="1"/>
        <v>72118.42424242424</v>
      </c>
      <c r="I47">
        <f>'Tennessee counties'!D84</f>
        <v>27708</v>
      </c>
      <c r="J47" s="2">
        <f t="shared" si="9"/>
        <v>23615</v>
      </c>
      <c r="K47" s="2">
        <f t="shared" si="2"/>
        <v>4093</v>
      </c>
      <c r="L47">
        <f>'Tennessee counties'!E84</f>
        <v>28622</v>
      </c>
      <c r="M47" s="2">
        <f t="shared" si="10"/>
        <v>26429.858585858587</v>
      </c>
      <c r="N47" s="2">
        <f t="shared" si="3"/>
        <v>2192.1414141414134</v>
      </c>
      <c r="O47">
        <f>'Tennessee counties'!F84</f>
        <v>32719</v>
      </c>
      <c r="P47" s="2">
        <f t="shared" si="11"/>
        <v>29452.939393939392</v>
      </c>
      <c r="Q47" s="2">
        <f t="shared" si="4"/>
        <v>3266.0606060606078</v>
      </c>
      <c r="R47">
        <f>'Tennessee counties'!G84</f>
        <v>33533</v>
      </c>
      <c r="S47" s="2">
        <f t="shared" si="12"/>
        <v>33249.67676767677</v>
      </c>
      <c r="T47" s="2">
        <f t="shared" si="5"/>
        <v>283.3232323232296</v>
      </c>
      <c r="U47">
        <f>'Tennessee counties'!H84</f>
        <v>36217</v>
      </c>
      <c r="V47" s="2">
        <f t="shared" si="13"/>
        <v>36031.202020202021</v>
      </c>
      <c r="W47" s="2">
        <f t="shared" si="6"/>
        <v>185.79797979797877</v>
      </c>
    </row>
    <row r="48" spans="1:23" x14ac:dyDescent="0.25">
      <c r="A48" t="s">
        <v>85</v>
      </c>
      <c r="B48">
        <v>1</v>
      </c>
      <c r="C48" s="2">
        <f>'Tennessee counties'!B49</f>
        <v>7368</v>
      </c>
      <c r="D48" s="2">
        <f t="shared" si="7"/>
        <v>20410.262626262625</v>
      </c>
      <c r="E48" s="2">
        <f t="shared" si="0"/>
        <v>-13042.262626262625</v>
      </c>
      <c r="F48" s="2">
        <f>'Tennessee counties'!C49</f>
        <v>8704</v>
      </c>
      <c r="G48" s="2">
        <f t="shared" si="8"/>
        <v>22068.575757575756</v>
      </c>
      <c r="H48" s="2">
        <f t="shared" si="1"/>
        <v>-13364.575757575756</v>
      </c>
      <c r="I48">
        <f>'Tennessee counties'!D85</f>
        <v>30258</v>
      </c>
      <c r="J48" s="2">
        <f t="shared" si="9"/>
        <v>23615</v>
      </c>
      <c r="K48" s="2">
        <f t="shared" si="2"/>
        <v>6643</v>
      </c>
      <c r="L48">
        <f>'Tennessee counties'!E85</f>
        <v>27498</v>
      </c>
      <c r="M48" s="2">
        <f t="shared" si="10"/>
        <v>26429.858585858587</v>
      </c>
      <c r="N48" s="2">
        <f t="shared" si="3"/>
        <v>1068.1414141414134</v>
      </c>
      <c r="O48">
        <f>'Tennessee counties'!F85</f>
        <v>28036</v>
      </c>
      <c r="P48" s="2">
        <f t="shared" si="11"/>
        <v>29452.939393939392</v>
      </c>
      <c r="Q48" s="2">
        <f t="shared" si="4"/>
        <v>-1416.9393939393922</v>
      </c>
      <c r="R48">
        <f>'Tennessee counties'!G85</f>
        <v>29782</v>
      </c>
      <c r="S48" s="2">
        <f t="shared" si="12"/>
        <v>33249.67676767677</v>
      </c>
      <c r="T48" s="2">
        <f t="shared" si="5"/>
        <v>-3467.6767676767704</v>
      </c>
      <c r="U48">
        <f>'Tennessee counties'!H85</f>
        <v>28564</v>
      </c>
      <c r="V48" s="2">
        <f t="shared" si="13"/>
        <v>36031.202020202021</v>
      </c>
      <c r="W48" s="2">
        <f t="shared" si="6"/>
        <v>-7467.2020202020212</v>
      </c>
    </row>
    <row r="49" spans="1:23" x14ac:dyDescent="0.25">
      <c r="A49" t="s">
        <v>90</v>
      </c>
      <c r="B49">
        <v>1</v>
      </c>
      <c r="C49" s="2">
        <f>'Tennessee counties'!B50</f>
        <v>21971</v>
      </c>
      <c r="D49" s="2">
        <f t="shared" si="7"/>
        <v>20410.262626262625</v>
      </c>
      <c r="E49" s="2">
        <f t="shared" si="0"/>
        <v>1560.7373737373746</v>
      </c>
      <c r="F49" s="2">
        <f>'Tennessee counties'!C50</f>
        <v>21105</v>
      </c>
      <c r="G49" s="2">
        <f t="shared" si="8"/>
        <v>22068.575757575756</v>
      </c>
      <c r="H49" s="2">
        <f t="shared" si="1"/>
        <v>-963.57575757575614</v>
      </c>
      <c r="I49">
        <f>'Tennessee counties'!D90</f>
        <v>17306</v>
      </c>
      <c r="J49" s="2">
        <f t="shared" si="9"/>
        <v>23615</v>
      </c>
      <c r="K49" s="2">
        <f t="shared" si="2"/>
        <v>-6309</v>
      </c>
      <c r="L49">
        <f>'Tennessee counties'!E90</f>
        <v>20209</v>
      </c>
      <c r="M49" s="2">
        <f t="shared" si="10"/>
        <v>26429.858585858587</v>
      </c>
      <c r="N49" s="2">
        <f t="shared" si="3"/>
        <v>-6220.8585858585866</v>
      </c>
      <c r="O49">
        <f>'Tennessee counties'!F90</f>
        <v>19764</v>
      </c>
      <c r="P49" s="2">
        <f t="shared" si="11"/>
        <v>29452.939393939392</v>
      </c>
      <c r="Q49" s="2">
        <f t="shared" si="4"/>
        <v>-9688.9393939393922</v>
      </c>
      <c r="R49">
        <f>'Tennessee counties'!G90</f>
        <v>22271</v>
      </c>
      <c r="S49" s="2">
        <f t="shared" si="12"/>
        <v>33249.67676767677</v>
      </c>
      <c r="T49" s="2">
        <f t="shared" si="5"/>
        <v>-10978.67676767677</v>
      </c>
      <c r="U49">
        <f>'Tennessee counties'!H90</f>
        <v>23102</v>
      </c>
      <c r="V49" s="2">
        <f t="shared" si="13"/>
        <v>36031.202020202021</v>
      </c>
      <c r="W49" s="2">
        <f t="shared" si="6"/>
        <v>-12929.202020202021</v>
      </c>
    </row>
    <row r="50" spans="1:23" x14ac:dyDescent="0.25">
      <c r="A50" t="s">
        <v>91</v>
      </c>
      <c r="B50">
        <v>1</v>
      </c>
      <c r="C50" s="2">
        <f>'Tennessee counties'!B51</f>
        <v>15402</v>
      </c>
      <c r="D50" s="2">
        <f t="shared" si="7"/>
        <v>20410.262626262625</v>
      </c>
      <c r="E50" s="2">
        <f t="shared" si="0"/>
        <v>-5008.2626262626254</v>
      </c>
      <c r="F50" s="2">
        <f>'Tennessee counties'!C51</f>
        <v>17569</v>
      </c>
      <c r="G50" s="2">
        <f t="shared" si="8"/>
        <v>22068.575757575756</v>
      </c>
      <c r="H50" s="2">
        <f t="shared" si="1"/>
        <v>-4499.5757575757561</v>
      </c>
      <c r="I50">
        <f>'Tennessee counties'!D91</f>
        <v>34052</v>
      </c>
      <c r="J50" s="2">
        <f t="shared" si="9"/>
        <v>23615</v>
      </c>
      <c r="K50" s="2">
        <f t="shared" si="2"/>
        <v>10437</v>
      </c>
      <c r="L50">
        <f>'Tennessee counties'!E91</f>
        <v>45805</v>
      </c>
      <c r="M50" s="2">
        <f t="shared" si="10"/>
        <v>26429.858585858587</v>
      </c>
      <c r="N50" s="2">
        <f t="shared" si="3"/>
        <v>19375.141414141413</v>
      </c>
      <c r="O50">
        <f>'Tennessee counties'!F91</f>
        <v>51631</v>
      </c>
      <c r="P50" s="2">
        <f t="shared" si="11"/>
        <v>29452.939393939392</v>
      </c>
      <c r="Q50" s="2">
        <f t="shared" si="4"/>
        <v>22178.060606060608</v>
      </c>
      <c r="R50">
        <f>'Tennessee counties'!G91</f>
        <v>59971</v>
      </c>
      <c r="S50" s="2">
        <f t="shared" si="12"/>
        <v>33249.67676767677</v>
      </c>
      <c r="T50" s="2">
        <f t="shared" si="5"/>
        <v>26721.32323232323</v>
      </c>
      <c r="U50">
        <f>'Tennessee counties'!H91</f>
        <v>64832</v>
      </c>
      <c r="V50" s="2">
        <f t="shared" si="13"/>
        <v>36031.202020202021</v>
      </c>
      <c r="W50" s="2">
        <f t="shared" si="6"/>
        <v>28800.797979797979</v>
      </c>
    </row>
    <row r="51" spans="1:23" x14ac:dyDescent="0.25">
      <c r="A51" t="s">
        <v>94</v>
      </c>
      <c r="B51">
        <v>1</v>
      </c>
      <c r="C51" s="2">
        <f>'Tennessee counties'!B52</f>
        <v>4455</v>
      </c>
      <c r="D51" s="2">
        <f t="shared" si="7"/>
        <v>20410.262626262625</v>
      </c>
      <c r="E51" s="2">
        <f t="shared" si="0"/>
        <v>-15955.262626262625</v>
      </c>
      <c r="F51" s="2">
        <f>'Tennessee counties'!C52</f>
        <v>6033</v>
      </c>
      <c r="G51" s="2">
        <f t="shared" si="8"/>
        <v>22068.575757575756</v>
      </c>
      <c r="H51" s="2">
        <f t="shared" si="1"/>
        <v>-16035.575757575756</v>
      </c>
      <c r="I51">
        <f>'Tennessee counties'!D94</f>
        <v>15701</v>
      </c>
      <c r="J51" s="2">
        <f t="shared" si="9"/>
        <v>23615</v>
      </c>
      <c r="K51" s="2">
        <f t="shared" si="2"/>
        <v>-7914</v>
      </c>
      <c r="L51">
        <f>'Tennessee counties'!E94</f>
        <v>15543</v>
      </c>
      <c r="M51" s="2">
        <f t="shared" si="10"/>
        <v>26429.858585858587</v>
      </c>
      <c r="N51" s="2">
        <f t="shared" si="3"/>
        <v>-10886.858585858587</v>
      </c>
      <c r="O51">
        <f>'Tennessee counties'!F94</f>
        <v>15983</v>
      </c>
      <c r="P51" s="2">
        <f t="shared" si="11"/>
        <v>29452.939393939392</v>
      </c>
      <c r="Q51" s="2">
        <f t="shared" si="4"/>
        <v>-13469.939393939392</v>
      </c>
      <c r="R51">
        <f>'Tennessee counties'!G94</f>
        <v>16204</v>
      </c>
      <c r="S51" s="2">
        <f t="shared" si="12"/>
        <v>33249.67676767677</v>
      </c>
      <c r="T51" s="2">
        <f t="shared" si="5"/>
        <v>-17045.67676767677</v>
      </c>
      <c r="U51">
        <f>'Tennessee counties'!H94</f>
        <v>15577</v>
      </c>
      <c r="V51" s="2">
        <f t="shared" si="13"/>
        <v>36031.202020202021</v>
      </c>
      <c r="W51" s="2">
        <f t="shared" si="6"/>
        <v>-20454.202020202021</v>
      </c>
    </row>
    <row r="52" spans="1:23" x14ac:dyDescent="0.25">
      <c r="A52" t="s">
        <v>93</v>
      </c>
      <c r="B52">
        <v>1</v>
      </c>
      <c r="C52" s="2">
        <f>'Tennessee counties'!B53</f>
        <v>26304</v>
      </c>
      <c r="D52" s="2">
        <f t="shared" si="7"/>
        <v>20410.262626262625</v>
      </c>
      <c r="E52" s="2">
        <f t="shared" si="0"/>
        <v>5893.7373737373746</v>
      </c>
      <c r="F52" s="2">
        <f>'Tennessee counties'!C53</f>
        <v>25908</v>
      </c>
      <c r="G52" s="2">
        <f t="shared" si="8"/>
        <v>22068.575757575756</v>
      </c>
      <c r="H52" s="2">
        <f t="shared" si="1"/>
        <v>3839.4242424242439</v>
      </c>
      <c r="I52">
        <f>'Tennessee counties'!D93</f>
        <v>31053</v>
      </c>
      <c r="J52" s="2">
        <f t="shared" si="9"/>
        <v>23615</v>
      </c>
      <c r="K52" s="2">
        <f t="shared" si="2"/>
        <v>7438</v>
      </c>
      <c r="L52">
        <f>'Tennessee counties'!E93</f>
        <v>29262</v>
      </c>
      <c r="M52" s="2">
        <f t="shared" si="10"/>
        <v>26429.858585858587</v>
      </c>
      <c r="N52" s="2">
        <f t="shared" si="3"/>
        <v>2832.1414141414134</v>
      </c>
      <c r="O52">
        <f>'Tennessee counties'!F93</f>
        <v>29498</v>
      </c>
      <c r="P52" s="2">
        <f t="shared" si="11"/>
        <v>29452.939393939392</v>
      </c>
      <c r="Q52" s="2">
        <f t="shared" si="4"/>
        <v>45.060606060607824</v>
      </c>
      <c r="R52">
        <f>'Tennessee counties'!G93</f>
        <v>27962</v>
      </c>
      <c r="S52" s="2">
        <f t="shared" si="12"/>
        <v>33249.67676767677</v>
      </c>
      <c r="T52" s="2">
        <f t="shared" si="5"/>
        <v>-5287.6767676767704</v>
      </c>
      <c r="U52">
        <f>'Tennessee counties'!H93</f>
        <v>24227</v>
      </c>
      <c r="V52" s="2">
        <f t="shared" si="13"/>
        <v>36031.202020202021</v>
      </c>
      <c r="W52" s="2">
        <f t="shared" si="6"/>
        <v>-11804.202020202021</v>
      </c>
    </row>
    <row r="53" spans="1:23" x14ac:dyDescent="0.25">
      <c r="A53" t="s">
        <v>95</v>
      </c>
      <c r="B53">
        <v>1</v>
      </c>
      <c r="C53" s="2">
        <f>'Tennessee counties'!B54</f>
        <v>10838</v>
      </c>
      <c r="D53" s="2">
        <f t="shared" si="7"/>
        <v>20410.262626262625</v>
      </c>
      <c r="E53" s="2">
        <f t="shared" si="0"/>
        <v>-9572.2626262626254</v>
      </c>
      <c r="F53" s="2">
        <f>'Tennessee counties'!C54</f>
        <v>13612</v>
      </c>
      <c r="G53" s="2">
        <f t="shared" si="8"/>
        <v>22068.575757575756</v>
      </c>
      <c r="H53" s="2">
        <f t="shared" si="1"/>
        <v>-8456.5757575757561</v>
      </c>
      <c r="I53">
        <f>'Tennessee counties'!D95</f>
        <v>23409</v>
      </c>
      <c r="J53" s="2">
        <f t="shared" si="9"/>
        <v>23615</v>
      </c>
      <c r="K53" s="2">
        <f t="shared" si="2"/>
        <v>-206</v>
      </c>
      <c r="L53">
        <f>'Tennessee counties'!E95</f>
        <v>22845</v>
      </c>
      <c r="M53" s="2">
        <f t="shared" si="10"/>
        <v>26429.858585858587</v>
      </c>
      <c r="N53" s="2">
        <f t="shared" si="3"/>
        <v>-3584.8585858585866</v>
      </c>
      <c r="O53">
        <f>'Tennessee counties'!F95</f>
        <v>25220</v>
      </c>
      <c r="P53" s="2">
        <f t="shared" si="11"/>
        <v>29452.939393939392</v>
      </c>
      <c r="Q53" s="2">
        <f t="shared" si="4"/>
        <v>-4232.9393939393922</v>
      </c>
      <c r="R53">
        <f>'Tennessee counties'!G95</f>
        <v>24307</v>
      </c>
      <c r="S53" s="2">
        <f t="shared" si="12"/>
        <v>33249.67676767677</v>
      </c>
      <c r="T53" s="2">
        <f t="shared" si="5"/>
        <v>-8942.6767676767704</v>
      </c>
      <c r="U53">
        <f>'Tennessee counties'!H95</f>
        <v>25267</v>
      </c>
      <c r="V53" s="2">
        <f t="shared" si="13"/>
        <v>36031.202020202021</v>
      </c>
      <c r="W53" s="2">
        <f t="shared" si="6"/>
        <v>-10764.202020202021</v>
      </c>
    </row>
    <row r="54" spans="1:23" x14ac:dyDescent="0.25">
      <c r="A54" t="s">
        <v>96</v>
      </c>
      <c r="B54">
        <v>1</v>
      </c>
      <c r="C54" s="2">
        <f>'Tennessee counties'!B55</f>
        <v>19163</v>
      </c>
      <c r="D54" s="2">
        <f t="shared" si="7"/>
        <v>20410.262626262625</v>
      </c>
      <c r="E54" s="2">
        <f t="shared" si="0"/>
        <v>-1247.2626262626254</v>
      </c>
      <c r="F54" s="2">
        <f>'Tennessee counties'!C55</f>
        <v>21046</v>
      </c>
      <c r="G54" s="2">
        <f t="shared" si="8"/>
        <v>22068.575757575756</v>
      </c>
      <c r="H54" s="2">
        <f t="shared" si="1"/>
        <v>-1022.5757575757561</v>
      </c>
      <c r="I54">
        <f>'Tennessee counties'!D96</f>
        <v>26241</v>
      </c>
      <c r="J54" s="2">
        <f t="shared" si="9"/>
        <v>23615</v>
      </c>
      <c r="K54" s="2">
        <f t="shared" si="2"/>
        <v>2626</v>
      </c>
      <c r="L54">
        <f>'Tennessee counties'!E96</f>
        <v>23929</v>
      </c>
      <c r="M54" s="2">
        <f t="shared" si="10"/>
        <v>26429.858585858587</v>
      </c>
      <c r="N54" s="2">
        <f t="shared" si="3"/>
        <v>-2500.8585858585866</v>
      </c>
      <c r="O54">
        <f>'Tennessee counties'!F96</f>
        <v>25267</v>
      </c>
      <c r="P54" s="2">
        <f t="shared" si="11"/>
        <v>29452.939393939392</v>
      </c>
      <c r="Q54" s="2">
        <f t="shared" si="4"/>
        <v>-4185.9393939393922</v>
      </c>
      <c r="R54">
        <f>'Tennessee counties'!G96</f>
        <v>26318</v>
      </c>
      <c r="S54" s="2">
        <f t="shared" si="12"/>
        <v>33249.67676767677</v>
      </c>
      <c r="T54" s="2">
        <f t="shared" si="5"/>
        <v>-6931.6767676767704</v>
      </c>
      <c r="U54">
        <f>'Tennessee counties'!H96</f>
        <v>27668</v>
      </c>
      <c r="V54" s="2">
        <f t="shared" si="13"/>
        <v>36031.202020202021</v>
      </c>
      <c r="W54" s="2">
        <f t="shared" si="6"/>
        <v>-8363.2020202020212</v>
      </c>
    </row>
    <row r="55" spans="1:23" x14ac:dyDescent="0.25">
      <c r="A55" t="s">
        <v>28</v>
      </c>
      <c r="B55">
        <v>2</v>
      </c>
      <c r="C55" s="2">
        <f>'Tennessee counties'!B56</f>
        <v>17760</v>
      </c>
      <c r="D55" s="2">
        <f t="shared" si="7"/>
        <v>20410.262626262625</v>
      </c>
      <c r="E55" s="2">
        <f>(C55/2)-D55</f>
        <v>-11530.262626262625</v>
      </c>
      <c r="F55" s="2">
        <f>'Tennessee counties'!C56</f>
        <v>16356</v>
      </c>
      <c r="G55" s="2">
        <f t="shared" si="8"/>
        <v>22068.575757575756</v>
      </c>
      <c r="H55" s="2">
        <f>(F55/2)-G55</f>
        <v>-13890.575757575756</v>
      </c>
      <c r="I55">
        <f>'Tennessee counties'!D28</f>
        <v>43388</v>
      </c>
      <c r="J55" s="2">
        <f t="shared" si="9"/>
        <v>23615</v>
      </c>
      <c r="K55" s="2">
        <f>(I55/2)-J55</f>
        <v>-1921</v>
      </c>
      <c r="L55">
        <f>'Tennessee counties'!E28</f>
        <v>46528</v>
      </c>
      <c r="M55" s="2">
        <f t="shared" si="10"/>
        <v>26429.858585858587</v>
      </c>
      <c r="N55" s="2">
        <f>(L55/2)-M55</f>
        <v>-3165.8585858585866</v>
      </c>
      <c r="O55">
        <f>'Tennessee counties'!F28</f>
        <v>44835</v>
      </c>
      <c r="P55" s="2">
        <f t="shared" si="11"/>
        <v>29452.939393939392</v>
      </c>
      <c r="Q55" s="2">
        <f>(O55/2)-P55</f>
        <v>-7035.4393939393922</v>
      </c>
      <c r="R55">
        <f>'Tennessee counties'!G28</f>
        <v>48132</v>
      </c>
      <c r="S55" s="2">
        <f t="shared" si="12"/>
        <v>33249.67676767677</v>
      </c>
      <c r="T55" s="2">
        <f>(R55/2)-S55</f>
        <v>-9183.6767676767704</v>
      </c>
      <c r="U55">
        <f>'Tennessee counties'!H28</f>
        <v>44699</v>
      </c>
      <c r="V55" s="2">
        <f t="shared" si="13"/>
        <v>36031.202020202021</v>
      </c>
      <c r="W55" s="2">
        <f>(U55/2)-V55</f>
        <v>-13681.702020202021</v>
      </c>
    </row>
    <row r="56" spans="1:23" x14ac:dyDescent="0.25">
      <c r="A56" t="s">
        <v>56</v>
      </c>
      <c r="B56">
        <v>2</v>
      </c>
      <c r="C56" s="2">
        <f>'Tennessee counties'!B57</f>
        <v>12881</v>
      </c>
      <c r="D56" s="2">
        <f t="shared" si="7"/>
        <v>20410.262626262625</v>
      </c>
      <c r="E56" s="2">
        <f>(C56/2)-D56</f>
        <v>-13969.762626262625</v>
      </c>
      <c r="F56" s="2">
        <f>'Tennessee counties'!C57</f>
        <v>14559</v>
      </c>
      <c r="G56" s="2">
        <f t="shared" si="8"/>
        <v>22068.575757575756</v>
      </c>
      <c r="H56" s="2">
        <f>(F56/2)-G56</f>
        <v>-14789.075757575756</v>
      </c>
      <c r="I56">
        <f>'Tennessee counties'!D56</f>
        <v>18350</v>
      </c>
      <c r="J56" s="2">
        <f t="shared" si="9"/>
        <v>23615</v>
      </c>
      <c r="K56" s="2">
        <f>(I56/2)-J56</f>
        <v>-14440</v>
      </c>
      <c r="L56">
        <f>'Tennessee counties'!E56</f>
        <v>19901</v>
      </c>
      <c r="M56" s="2">
        <f t="shared" si="10"/>
        <v>26429.858585858587</v>
      </c>
      <c r="N56" s="2">
        <f>(L56/2)-M56</f>
        <v>-16479.358585858587</v>
      </c>
      <c r="O56">
        <f>'Tennessee counties'!F56</f>
        <v>20424</v>
      </c>
      <c r="P56" s="2">
        <f t="shared" si="11"/>
        <v>29452.939393939392</v>
      </c>
      <c r="Q56" s="2">
        <f>(O56/2)-P56</f>
        <v>-19240.939393939392</v>
      </c>
      <c r="R56">
        <f>'Tennessee counties'!G56</f>
        <v>20390</v>
      </c>
      <c r="S56" s="2">
        <f t="shared" si="12"/>
        <v>33249.67676767677</v>
      </c>
      <c r="T56" s="2">
        <f>(R56/2)-S56</f>
        <v>-23054.67676767677</v>
      </c>
      <c r="U56">
        <f>'Tennessee counties'!H56</f>
        <v>18085</v>
      </c>
      <c r="V56" s="2">
        <f t="shared" si="13"/>
        <v>36031.202020202021</v>
      </c>
      <c r="W56" s="2">
        <f>(U56/2)-V56</f>
        <v>-26988.702020202021</v>
      </c>
    </row>
    <row r="57" spans="1:23" x14ac:dyDescent="0.25">
      <c r="A57" t="s">
        <v>48</v>
      </c>
      <c r="B57">
        <v>3</v>
      </c>
      <c r="C57" s="2">
        <f>'Tennessee counties'!B58</f>
        <v>36333</v>
      </c>
      <c r="D57" s="2">
        <f t="shared" si="7"/>
        <v>20410.262626262625</v>
      </c>
      <c r="E57" s="2">
        <f>(C57/3)-D57</f>
        <v>-8299.2626262626254</v>
      </c>
      <c r="F57" s="2">
        <f>'Tennessee counties'!C58</f>
        <v>39357</v>
      </c>
      <c r="G57" s="2">
        <f t="shared" si="8"/>
        <v>22068.575757575756</v>
      </c>
      <c r="H57" s="2">
        <f>(F57/3)-G57</f>
        <v>-8949.5757575757561</v>
      </c>
      <c r="I57">
        <f>'Tennessee counties'!D48</f>
        <v>112926</v>
      </c>
      <c r="J57" s="2">
        <f t="shared" si="9"/>
        <v>23615</v>
      </c>
      <c r="K57" s="2">
        <f>(I57/3)-J57</f>
        <v>14027</v>
      </c>
      <c r="L57">
        <f>'Tennessee counties'!E48</f>
        <v>155902</v>
      </c>
      <c r="M57" s="2">
        <f t="shared" si="10"/>
        <v>26429.858585858587</v>
      </c>
      <c r="N57" s="2">
        <f>(L57/3)-M57</f>
        <v>25537.474747474749</v>
      </c>
      <c r="O57">
        <f>'Tennessee counties'!F48</f>
        <v>178468</v>
      </c>
      <c r="P57" s="2">
        <f t="shared" si="11"/>
        <v>29452.939393939392</v>
      </c>
      <c r="Q57" s="2">
        <f>(O57/3)-P57</f>
        <v>30036.393939393944</v>
      </c>
      <c r="R57">
        <f>'Tennessee counties'!G48</f>
        <v>223007</v>
      </c>
      <c r="S57" s="2">
        <f t="shared" si="12"/>
        <v>33249.67676767677</v>
      </c>
      <c r="T57" s="2">
        <f>(R57/3)-S57</f>
        <v>41085.989898989901</v>
      </c>
      <c r="U57">
        <f>'Tennessee counties'!H48</f>
        <v>250523</v>
      </c>
      <c r="V57" s="2">
        <f t="shared" si="13"/>
        <v>36031.202020202021</v>
      </c>
      <c r="W57" s="2">
        <f>(U57/3)-V57</f>
        <v>47476.46464646465</v>
      </c>
    </row>
    <row r="58" spans="1:23" x14ac:dyDescent="0.25">
      <c r="A58" t="s">
        <v>34</v>
      </c>
      <c r="B58">
        <v>3</v>
      </c>
      <c r="C58" s="2">
        <f>'Tennessee counties'!B59</f>
        <v>17281</v>
      </c>
      <c r="D58" s="2">
        <f t="shared" si="7"/>
        <v>20410.262626262625</v>
      </c>
      <c r="E58" s="2">
        <f>(C58/3)-D58</f>
        <v>-14649.929292929293</v>
      </c>
      <c r="F58" s="2">
        <f>'Tennessee counties'!C59</f>
        <v>18820</v>
      </c>
      <c r="G58" s="2">
        <f t="shared" si="8"/>
        <v>22068.575757575756</v>
      </c>
      <c r="H58" s="2">
        <f>(F58/3)-G58</f>
        <v>-15795.242424242424</v>
      </c>
      <c r="I58">
        <f>'Tennessee counties'!D34</f>
        <v>115954</v>
      </c>
      <c r="J58" s="2">
        <f t="shared" si="9"/>
        <v>23615</v>
      </c>
      <c r="K58" s="2">
        <f>(I58/3)-J58</f>
        <v>15036.333333333336</v>
      </c>
      <c r="L58">
        <f>'Tennessee counties'!E34</f>
        <v>159497</v>
      </c>
      <c r="M58" s="2">
        <f t="shared" si="10"/>
        <v>26429.858585858587</v>
      </c>
      <c r="N58" s="2">
        <f>(L58/3)-M58</f>
        <v>26735.808080808078</v>
      </c>
      <c r="O58">
        <f>'Tennessee counties'!F34</f>
        <v>180478</v>
      </c>
      <c r="P58" s="2">
        <f t="shared" si="11"/>
        <v>29452.939393939392</v>
      </c>
      <c r="Q58" s="2">
        <f>(O58/3)-P58</f>
        <v>30706.393939393944</v>
      </c>
      <c r="R58">
        <f>'Tennessee counties'!G34</f>
        <v>208255</v>
      </c>
      <c r="S58" s="2">
        <f t="shared" si="12"/>
        <v>33249.67676767677</v>
      </c>
      <c r="T58" s="2">
        <f>(R58/3)-S58</f>
        <v>36168.656565656558</v>
      </c>
      <c r="U58">
        <f>'Tennessee counties'!H34</f>
        <v>237905</v>
      </c>
      <c r="V58" s="2">
        <f t="shared" si="13"/>
        <v>36031.202020202021</v>
      </c>
      <c r="W58" s="2">
        <f>(U58/3)-V58</f>
        <v>43270.46464646465</v>
      </c>
    </row>
    <row r="59" spans="1:23" x14ac:dyDescent="0.25">
      <c r="A59" t="s">
        <v>20</v>
      </c>
      <c r="B59">
        <v>6</v>
      </c>
      <c r="C59" s="2">
        <f>'Tennessee counties'!B60</f>
        <v>18763</v>
      </c>
      <c r="D59" s="2">
        <f t="shared" si="7"/>
        <v>20410.262626262625</v>
      </c>
      <c r="E59" s="2">
        <f>(C59/6)-D59</f>
        <v>-17283.095959595958</v>
      </c>
      <c r="F59" s="2">
        <f>'Tennessee counties'!C60</f>
        <v>16872</v>
      </c>
      <c r="G59" s="2">
        <f t="shared" si="8"/>
        <v>22068.575757575756</v>
      </c>
      <c r="H59" s="2">
        <f>(F59/6)-G59</f>
        <v>-19256.575757575756</v>
      </c>
      <c r="I59">
        <f>'Tennessee counties'!D20</f>
        <v>167815</v>
      </c>
      <c r="J59" s="2">
        <f t="shared" si="9"/>
        <v>23615</v>
      </c>
      <c r="K59" s="2">
        <f>(I59/6)-J59</f>
        <v>4354.1666666666679</v>
      </c>
      <c r="L59">
        <f>'Tennessee counties'!E20</f>
        <v>222854</v>
      </c>
      <c r="M59" s="2">
        <f t="shared" si="10"/>
        <v>26429.858585858587</v>
      </c>
      <c r="N59" s="2">
        <f>(L59/6)-M59</f>
        <v>10712.474747474749</v>
      </c>
      <c r="O59">
        <f>'Tennessee counties'!F20</f>
        <v>257267</v>
      </c>
      <c r="P59" s="2">
        <f t="shared" si="11"/>
        <v>29452.939393939392</v>
      </c>
      <c r="Q59" s="2">
        <f>(O59/6)-P59</f>
        <v>13424.893939393944</v>
      </c>
      <c r="R59">
        <f>'Tennessee counties'!G20</f>
        <v>321758</v>
      </c>
      <c r="S59" s="2">
        <f t="shared" si="12"/>
        <v>33249.67676767677</v>
      </c>
      <c r="T59" s="2">
        <f>(R59/6)-S59</f>
        <v>20376.656565656565</v>
      </c>
      <c r="U59">
        <f>'Tennessee counties'!H20</f>
        <v>399743</v>
      </c>
      <c r="V59" s="2">
        <f t="shared" si="13"/>
        <v>36031.202020202021</v>
      </c>
      <c r="W59" s="2">
        <f>(U59/6)-V59</f>
        <v>30592.631313131307</v>
      </c>
    </row>
    <row r="60" spans="1:23" x14ac:dyDescent="0.25">
      <c r="A60" t="s">
        <v>80</v>
      </c>
      <c r="B60">
        <v>8</v>
      </c>
      <c r="C60" s="2">
        <f>'Tennessee counties'!B61</f>
        <v>42703</v>
      </c>
      <c r="D60" s="2">
        <f t="shared" si="7"/>
        <v>20410.262626262625</v>
      </c>
      <c r="E60" s="2">
        <f>(C60/8)-D60</f>
        <v>-15072.387626262625</v>
      </c>
      <c r="F60" s="2">
        <f>'Tennessee counties'!C61</f>
        <v>40456</v>
      </c>
      <c r="G60" s="2">
        <f t="shared" si="8"/>
        <v>22068.575757575756</v>
      </c>
      <c r="H60" s="2">
        <f>(F60/8)-G60</f>
        <v>-17011.575757575756</v>
      </c>
      <c r="I60">
        <f>'Tennessee counties'!D80</f>
        <v>223216</v>
      </c>
      <c r="J60" s="2">
        <f t="shared" si="9"/>
        <v>23615</v>
      </c>
      <c r="K60" s="2">
        <f>(I60/8)-J60</f>
        <v>4287</v>
      </c>
      <c r="L60">
        <f>'Tennessee counties'!E80</f>
        <v>306482</v>
      </c>
      <c r="M60" s="2">
        <f t="shared" si="10"/>
        <v>26429.858585858587</v>
      </c>
      <c r="N60" s="2">
        <f>(L60/8)-M60</f>
        <v>11880.391414141413</v>
      </c>
      <c r="O60">
        <f>'Tennessee counties'!F80</f>
        <v>358250</v>
      </c>
      <c r="P60" s="2">
        <f t="shared" si="11"/>
        <v>29452.939393939392</v>
      </c>
      <c r="Q60" s="2">
        <f>(O60/8)-P60</f>
        <v>15328.310606060608</v>
      </c>
      <c r="R60">
        <f>'Tennessee counties'!G80</f>
        <v>482393</v>
      </c>
      <c r="S60" s="2">
        <f t="shared" si="12"/>
        <v>33249.67676767677</v>
      </c>
      <c r="T60" s="2">
        <f>(R60/8)-S60</f>
        <v>27049.44823232323</v>
      </c>
      <c r="U60">
        <f>'Tennessee counties'!H80</f>
        <v>627019</v>
      </c>
      <c r="V60" s="2">
        <f t="shared" si="13"/>
        <v>36031.202020202021</v>
      </c>
      <c r="W60" s="2">
        <f>(U60/8)-V60</f>
        <v>42346.172979797979</v>
      </c>
    </row>
    <row r="61" spans="1:23" x14ac:dyDescent="0.25">
      <c r="A61" t="s">
        <v>98</v>
      </c>
      <c r="B61">
        <v>1</v>
      </c>
      <c r="C61" s="2">
        <f>'Tennessee counties'!B62</f>
        <v>7491</v>
      </c>
      <c r="D61" s="2">
        <f t="shared" si="7"/>
        <v>20410.262626262625</v>
      </c>
      <c r="E61" s="2">
        <f t="shared" ref="E61:E82" si="14">C61-D61</f>
        <v>-12919.262626262625</v>
      </c>
      <c r="F61" s="2">
        <f>'Tennessee counties'!C62</f>
        <v>6131</v>
      </c>
      <c r="G61" s="2">
        <f t="shared" si="8"/>
        <v>22068.575757575756</v>
      </c>
      <c r="H61" s="2">
        <f t="shared" ref="H61:H82" si="15">F61-G61</f>
        <v>-15937.575757575756</v>
      </c>
      <c r="I61">
        <f>'Tennessee counties'!D47+'Tennessee counties'!D11</f>
        <v>33718</v>
      </c>
      <c r="J61" s="2">
        <f t="shared" si="9"/>
        <v>23615</v>
      </c>
      <c r="K61" s="2">
        <f t="shared" ref="K61:K82" si="16">I61-J61</f>
        <v>10103</v>
      </c>
      <c r="L61">
        <f>'Tennessee counties'!E47+'Tennessee counties'!E11</f>
        <v>41432</v>
      </c>
      <c r="M61" s="2">
        <f t="shared" si="10"/>
        <v>26429.858585858587</v>
      </c>
      <c r="N61" s="2">
        <f t="shared" ref="N61:N82" si="17">L61-M61</f>
        <v>15002.141414141413</v>
      </c>
      <c r="O61">
        <f>'Tennessee counties'!F47+'Tennessee counties'!F11</f>
        <v>48125</v>
      </c>
      <c r="P61" s="2">
        <f t="shared" si="11"/>
        <v>29452.939393939392</v>
      </c>
      <c r="Q61" s="2">
        <f t="shared" ref="Q61:Q82" si="18">O61-P61</f>
        <v>18672.060606060608</v>
      </c>
      <c r="R61">
        <f>'Tennessee counties'!G47+'Tennessee counties'!G11</f>
        <v>54710</v>
      </c>
      <c r="S61" s="2">
        <f t="shared" si="12"/>
        <v>33249.67676767677</v>
      </c>
      <c r="T61" s="2">
        <f t="shared" ref="T61:T82" si="19">R61-S61</f>
        <v>21460.32323232323</v>
      </c>
      <c r="U61">
        <f>'Tennessee counties'!H47+'Tennessee counties'!H11</f>
        <v>52343</v>
      </c>
      <c r="V61" s="2">
        <f t="shared" si="13"/>
        <v>36031.202020202021</v>
      </c>
      <c r="W61" s="2">
        <f t="shared" ref="W61:W82" si="20">U61-V61</f>
        <v>16311.797979797979</v>
      </c>
    </row>
    <row r="62" spans="1:23" x14ac:dyDescent="0.25">
      <c r="A62" t="s">
        <v>99</v>
      </c>
      <c r="B62">
        <v>1</v>
      </c>
      <c r="C62" s="2">
        <f>'Tennessee counties'!B63</f>
        <v>18585</v>
      </c>
      <c r="D62" s="2">
        <f t="shared" si="7"/>
        <v>20410.262626262625</v>
      </c>
      <c r="E62" s="2">
        <f t="shared" si="14"/>
        <v>-1825.2626262626254</v>
      </c>
      <c r="F62" s="2">
        <f>'Tennessee counties'!C63</f>
        <v>20716</v>
      </c>
      <c r="G62" s="2">
        <f t="shared" si="8"/>
        <v>22068.575757575756</v>
      </c>
      <c r="H62" s="2">
        <f t="shared" si="15"/>
        <v>-1352.5757575757561</v>
      </c>
      <c r="I62">
        <f>'Tennessee counties'!D83+'Tennessee counties'!D38</f>
        <v>59177</v>
      </c>
      <c r="J62" s="2">
        <f t="shared" si="9"/>
        <v>23615</v>
      </c>
      <c r="K62" s="2">
        <f t="shared" si="16"/>
        <v>35562</v>
      </c>
      <c r="L62">
        <f>'Tennessee counties'!E83+'Tennessee counties'!E38</f>
        <v>75204</v>
      </c>
      <c r="M62" s="2">
        <f t="shared" si="10"/>
        <v>26429.858585858587</v>
      </c>
      <c r="N62" s="2">
        <f t="shared" si="17"/>
        <v>48774.141414141413</v>
      </c>
      <c r="O62">
        <f>'Tennessee counties'!F83+'Tennessee counties'!F38</f>
        <v>97608</v>
      </c>
      <c r="P62" s="2">
        <f t="shared" si="11"/>
        <v>29452.939393939392</v>
      </c>
      <c r="Q62" s="2">
        <f t="shared" si="18"/>
        <v>68155.060606060608</v>
      </c>
      <c r="R62">
        <f>'Tennessee counties'!G83+'Tennessee counties'!G38</f>
        <v>125557</v>
      </c>
      <c r="S62" s="2">
        <f t="shared" si="12"/>
        <v>33249.67676767677</v>
      </c>
      <c r="T62" s="2">
        <f t="shared" si="19"/>
        <v>92307.323232323222</v>
      </c>
      <c r="U62">
        <f>'Tennessee counties'!H83+'Tennessee counties'!H38</f>
        <v>144607</v>
      </c>
      <c r="V62" s="2">
        <f t="shared" si="13"/>
        <v>36031.202020202021</v>
      </c>
      <c r="W62" s="2">
        <f t="shared" si="20"/>
        <v>108575.79797979798</v>
      </c>
    </row>
    <row r="63" spans="1:23" x14ac:dyDescent="0.25">
      <c r="A63" t="s">
        <v>100</v>
      </c>
      <c r="B63">
        <v>1</v>
      </c>
      <c r="C63" s="2">
        <f>'Tennessee counties'!B64</f>
        <v>36017</v>
      </c>
      <c r="D63" s="2">
        <f t="shared" si="7"/>
        <v>20410.262626262625</v>
      </c>
      <c r="E63" s="2">
        <f t="shared" si="14"/>
        <v>15606.737373737375</v>
      </c>
      <c r="F63" s="2">
        <f>'Tennessee counties'!C64</f>
        <v>33672</v>
      </c>
      <c r="G63" s="2">
        <f t="shared" si="8"/>
        <v>22068.575757575756</v>
      </c>
      <c r="H63" s="2">
        <f t="shared" si="15"/>
        <v>11603.424242424244</v>
      </c>
      <c r="I63">
        <f>'Tennessee counties'!D91+'Tennessee counties'!D87+'Tennessee counties'!D31</f>
        <v>76996</v>
      </c>
      <c r="J63" s="2">
        <f t="shared" si="9"/>
        <v>23615</v>
      </c>
      <c r="K63" s="2">
        <f t="shared" si="16"/>
        <v>53381</v>
      </c>
      <c r="L63">
        <f>'Tennessee counties'!E91+'Tennessee counties'!E87+'Tennessee counties'!E31</f>
        <v>93602</v>
      </c>
      <c r="M63" s="2">
        <f t="shared" si="10"/>
        <v>26429.858585858587</v>
      </c>
      <c r="N63" s="2">
        <f t="shared" si="17"/>
        <v>67172.141414141413</v>
      </c>
      <c r="O63">
        <f>'Tennessee counties'!F91+'Tennessee counties'!F87+'Tennessee counties'!F31</f>
        <v>105164</v>
      </c>
      <c r="P63" s="2">
        <f t="shared" si="11"/>
        <v>29452.939393939392</v>
      </c>
      <c r="Q63" s="2">
        <f t="shared" si="18"/>
        <v>75711.060606060608</v>
      </c>
      <c r="R63">
        <f>'Tennessee counties'!G91+'Tennessee counties'!G87+'Tennessee counties'!G31</f>
        <v>116905</v>
      </c>
      <c r="S63" s="2">
        <f t="shared" si="12"/>
        <v>33249.67676767677</v>
      </c>
      <c r="T63" s="2">
        <f t="shared" si="19"/>
        <v>83655.323232323222</v>
      </c>
      <c r="U63">
        <f>'Tennessee counties'!H91+'Tennessee counties'!H87+'Tennessee counties'!H31</f>
        <v>122077</v>
      </c>
      <c r="V63" s="2">
        <f t="shared" si="13"/>
        <v>36031.202020202021</v>
      </c>
      <c r="W63" s="2">
        <f t="shared" si="20"/>
        <v>86045.797979797979</v>
      </c>
    </row>
    <row r="64" spans="1:23" x14ac:dyDescent="0.25">
      <c r="A64" t="s">
        <v>101</v>
      </c>
      <c r="B64">
        <v>1</v>
      </c>
      <c r="C64" s="2">
        <f>'Tennessee counties'!B65</f>
        <v>5706</v>
      </c>
      <c r="D64" s="2">
        <f t="shared" si="7"/>
        <v>20410.262626262625</v>
      </c>
      <c r="E64" s="2">
        <f t="shared" si="14"/>
        <v>-14704.262626262625</v>
      </c>
      <c r="F64" s="2">
        <f>'Tennessee counties'!C65</f>
        <v>4800</v>
      </c>
      <c r="G64" s="2">
        <f t="shared" si="8"/>
        <v>22068.575757575756</v>
      </c>
      <c r="H64" s="2">
        <f t="shared" si="15"/>
        <v>-17268.575757575756</v>
      </c>
      <c r="I64">
        <f>'Tennessee counties'!D46+'Tennessee counties'!D33</f>
        <v>32733</v>
      </c>
      <c r="J64" s="2">
        <f t="shared" si="9"/>
        <v>23615</v>
      </c>
      <c r="K64" s="2">
        <f t="shared" si="16"/>
        <v>9118</v>
      </c>
      <c r="L64">
        <f>'Tennessee counties'!E46+'Tennessee counties'!E33</f>
        <v>34530</v>
      </c>
      <c r="M64" s="2">
        <f t="shared" si="10"/>
        <v>26429.858585858587</v>
      </c>
      <c r="N64" s="2">
        <f t="shared" si="17"/>
        <v>8100.1414141414134</v>
      </c>
      <c r="O64">
        <f>'Tennessee counties'!F46+'Tennessee counties'!F33</f>
        <v>37232</v>
      </c>
      <c r="P64" s="2">
        <f t="shared" si="11"/>
        <v>29452.939393939392</v>
      </c>
      <c r="Q64" s="2">
        <f t="shared" si="18"/>
        <v>7779.0606060606078</v>
      </c>
      <c r="R64">
        <f>'Tennessee counties'!G46+'Tennessee counties'!G33</f>
        <v>43643</v>
      </c>
      <c r="S64" s="2">
        <f t="shared" si="12"/>
        <v>33249.67676767677</v>
      </c>
      <c r="T64" s="2">
        <f t="shared" si="19"/>
        <v>10393.32323232323</v>
      </c>
      <c r="U64">
        <f>'Tennessee counties'!H46+'Tennessee counties'!H33</f>
        <v>54585</v>
      </c>
      <c r="V64" s="2">
        <f t="shared" si="13"/>
        <v>36031.202020202021</v>
      </c>
      <c r="W64" s="2">
        <f t="shared" si="20"/>
        <v>18553.797979797979</v>
      </c>
    </row>
    <row r="65" spans="1:23" x14ac:dyDescent="0.25">
      <c r="A65" t="s">
        <v>102</v>
      </c>
      <c r="B65">
        <v>1</v>
      </c>
      <c r="C65" s="2">
        <f>'Tennessee counties'!B66</f>
        <v>9587</v>
      </c>
      <c r="D65" s="2">
        <f t="shared" si="7"/>
        <v>20410.262626262625</v>
      </c>
      <c r="E65" s="2">
        <f t="shared" si="14"/>
        <v>-10823.262626262625</v>
      </c>
      <c r="F65" s="2">
        <f>'Tennessee counties'!C66</f>
        <v>11458</v>
      </c>
      <c r="G65" s="2">
        <f t="shared" si="8"/>
        <v>22068.575757575756</v>
      </c>
      <c r="H65" s="2">
        <f t="shared" si="15"/>
        <v>-10610.575757575756</v>
      </c>
      <c r="I65">
        <f>'Tennessee counties'!D35+'Tennessee counties'!D30</f>
        <v>23823</v>
      </c>
      <c r="J65" s="2">
        <f t="shared" si="9"/>
        <v>23615</v>
      </c>
      <c r="K65" s="2">
        <f t="shared" si="16"/>
        <v>208</v>
      </c>
      <c r="L65">
        <f>'Tennessee counties'!E35+'Tennessee counties'!E30</f>
        <v>22410</v>
      </c>
      <c r="M65" s="2">
        <f t="shared" si="10"/>
        <v>26429.858585858587</v>
      </c>
      <c r="N65" s="2">
        <f t="shared" si="17"/>
        <v>-4019.8585858585866</v>
      </c>
      <c r="O65">
        <f>'Tennessee counties'!F35+'Tennessee counties'!F30</f>
        <v>25587</v>
      </c>
      <c r="P65" s="2">
        <f t="shared" si="11"/>
        <v>29452.939393939392</v>
      </c>
      <c r="Q65" s="2">
        <f t="shared" si="18"/>
        <v>-3865.9393939393922</v>
      </c>
      <c r="R65">
        <f>'Tennessee counties'!G35+'Tennessee counties'!G30</f>
        <v>22202</v>
      </c>
      <c r="S65" s="2">
        <f t="shared" si="12"/>
        <v>33249.67676767677</v>
      </c>
      <c r="T65" s="2">
        <f t="shared" si="19"/>
        <v>-11047.67676767677</v>
      </c>
      <c r="U65">
        <f>'Tennessee counties'!H35+'Tennessee counties'!H30</f>
        <v>20263</v>
      </c>
      <c r="V65" s="2">
        <f t="shared" si="13"/>
        <v>36031.202020202021</v>
      </c>
      <c r="W65" s="2">
        <f t="shared" si="20"/>
        <v>-15768.202020202021</v>
      </c>
    </row>
    <row r="66" spans="1:23" x14ac:dyDescent="0.25">
      <c r="A66" t="s">
        <v>103</v>
      </c>
      <c r="B66">
        <v>1</v>
      </c>
      <c r="C66" s="2">
        <f>'Tennessee counties'!B67</f>
        <v>28286</v>
      </c>
      <c r="D66" s="2">
        <f t="shared" si="7"/>
        <v>20410.262626262625</v>
      </c>
      <c r="E66" s="2">
        <f t="shared" si="14"/>
        <v>7875.7373737373746</v>
      </c>
      <c r="F66" s="2">
        <f>'Tennessee counties'!C67</f>
        <v>29946</v>
      </c>
      <c r="G66" s="2">
        <f t="shared" si="8"/>
        <v>22068.575757575756</v>
      </c>
      <c r="H66" s="2">
        <f t="shared" si="15"/>
        <v>7877.4242424242439</v>
      </c>
      <c r="I66">
        <f>'Tennessee counties'!D77+'Tennessee counties'!D88+'Tennessee counties'!D8</f>
        <v>53291</v>
      </c>
      <c r="J66" s="2">
        <f t="shared" si="9"/>
        <v>23615</v>
      </c>
      <c r="K66" s="2">
        <f t="shared" si="16"/>
        <v>29676</v>
      </c>
      <c r="L66">
        <f>'Tennessee counties'!E77+'Tennessee counties'!E88+'Tennessee counties'!E8</f>
        <v>52278</v>
      </c>
      <c r="M66" s="2">
        <f t="shared" si="10"/>
        <v>26429.858585858587</v>
      </c>
      <c r="N66" s="2">
        <f t="shared" si="17"/>
        <v>25848.141414141413</v>
      </c>
      <c r="O66">
        <f>'Tennessee counties'!F77+'Tennessee counties'!F88+'Tennessee counties'!F8</f>
        <v>56127</v>
      </c>
      <c r="P66" s="2">
        <f t="shared" si="11"/>
        <v>29452.939393939392</v>
      </c>
      <c r="Q66" s="2">
        <f t="shared" si="18"/>
        <v>26674.060606060608</v>
      </c>
      <c r="R66">
        <f>'Tennessee counties'!G77+'Tennessee counties'!G88+'Tennessee counties'!G8</f>
        <v>60401</v>
      </c>
      <c r="S66" s="2">
        <f t="shared" si="12"/>
        <v>33249.67676767677</v>
      </c>
      <c r="T66" s="2">
        <f t="shared" si="19"/>
        <v>27151.32323232323</v>
      </c>
      <c r="U66">
        <f>'Tennessee counties'!H77+'Tennessee counties'!H88+'Tennessee counties'!H8</f>
        <v>51847</v>
      </c>
      <c r="V66" s="2">
        <f t="shared" si="13"/>
        <v>36031.202020202021</v>
      </c>
      <c r="W66" s="2">
        <f t="shared" si="20"/>
        <v>15815.797979797979</v>
      </c>
    </row>
    <row r="67" spans="1:23" x14ac:dyDescent="0.25">
      <c r="A67" t="s">
        <v>104</v>
      </c>
      <c r="B67">
        <v>1</v>
      </c>
      <c r="C67" s="2">
        <f>'Tennessee counties'!B68</f>
        <v>13353</v>
      </c>
      <c r="D67" s="2">
        <f t="shared" si="7"/>
        <v>20410.262626262625</v>
      </c>
      <c r="E67" s="2">
        <f t="shared" si="14"/>
        <v>-7057.2626262626254</v>
      </c>
      <c r="F67" s="2">
        <f>'Tennessee counties'!C68</f>
        <v>15854</v>
      </c>
      <c r="G67" s="2">
        <f t="shared" si="8"/>
        <v>22068.575757575756</v>
      </c>
      <c r="H67" s="2">
        <f t="shared" si="15"/>
        <v>-6214.5757575757561</v>
      </c>
      <c r="I67">
        <f>'Tennessee counties'!D2+'Tennessee counties'!D66</f>
        <v>31583</v>
      </c>
      <c r="J67" s="2">
        <f t="shared" si="9"/>
        <v>23615</v>
      </c>
      <c r="K67" s="2">
        <f t="shared" si="16"/>
        <v>7968</v>
      </c>
      <c r="L67">
        <f>'Tennessee counties'!E2+'Tennessee counties'!E66</f>
        <v>33325</v>
      </c>
      <c r="M67" s="2">
        <f t="shared" si="10"/>
        <v>26429.858585858587</v>
      </c>
      <c r="N67" s="2">
        <f t="shared" si="17"/>
        <v>6895.1414141414134</v>
      </c>
      <c r="O67">
        <f>'Tennessee counties'!F2+'Tennessee counties'!F66</f>
        <v>41746</v>
      </c>
      <c r="P67" s="2">
        <f t="shared" si="11"/>
        <v>29452.939393939392</v>
      </c>
      <c r="Q67" s="2">
        <f t="shared" si="18"/>
        <v>12293.060606060608</v>
      </c>
      <c r="R67">
        <f>'Tennessee counties'!G2+'Tennessee counties'!G66</f>
        <v>75134</v>
      </c>
      <c r="S67" s="2">
        <f t="shared" si="12"/>
        <v>33249.67676767677</v>
      </c>
      <c r="T67" s="2">
        <f t="shared" si="19"/>
        <v>41884.32323232323</v>
      </c>
      <c r="U67">
        <f>'Tennessee counties'!H2+'Tennessee counties'!H66</f>
        <v>74336</v>
      </c>
      <c r="V67" s="2">
        <f t="shared" si="13"/>
        <v>36031.202020202021</v>
      </c>
      <c r="W67" s="2">
        <f t="shared" si="20"/>
        <v>38304.797979797979</v>
      </c>
    </row>
    <row r="68" spans="1:23" x14ac:dyDescent="0.25">
      <c r="A68" t="s">
        <v>105</v>
      </c>
      <c r="B68">
        <v>1</v>
      </c>
      <c r="C68" s="2">
        <f>'Tennessee counties'!B69</f>
        <v>8800</v>
      </c>
      <c r="D68" s="2">
        <f t="shared" ref="D68:D82" si="21">$D$2</f>
        <v>20410.262626262625</v>
      </c>
      <c r="E68" s="2">
        <f t="shared" si="14"/>
        <v>-11610.262626262625</v>
      </c>
      <c r="F68" s="2">
        <f>'Tennessee counties'!C69</f>
        <v>8815</v>
      </c>
      <c r="G68" s="2">
        <f t="shared" ref="G68:G82" si="22">$G$2</f>
        <v>22068.575757575756</v>
      </c>
      <c r="H68" s="2">
        <f t="shared" si="15"/>
        <v>-13253.575757575756</v>
      </c>
      <c r="I68">
        <f>'Tennessee counties'!D48+'Tennessee counties'!D54</f>
        <v>129201</v>
      </c>
      <c r="J68" s="2">
        <f t="shared" ref="J68:J82" si="23">$J$2</f>
        <v>23615</v>
      </c>
      <c r="K68" s="2">
        <f t="shared" si="16"/>
        <v>105586</v>
      </c>
      <c r="L68">
        <f>'Tennessee counties'!E48+'Tennessee counties'!E54</f>
        <v>173707</v>
      </c>
      <c r="M68" s="2">
        <f t="shared" ref="M68:M82" si="24">$M$2</f>
        <v>26429.858585858587</v>
      </c>
      <c r="N68" s="2">
        <f t="shared" si="17"/>
        <v>147277.1414141414</v>
      </c>
      <c r="O68">
        <f>'Tennessee counties'!F48+'Tennessee counties'!F54</f>
        <v>198306</v>
      </c>
      <c r="P68" s="2">
        <f t="shared" ref="P68:P82" si="25">$P$2</f>
        <v>29452.939393939392</v>
      </c>
      <c r="Q68" s="2">
        <f t="shared" si="18"/>
        <v>168853.06060606061</v>
      </c>
      <c r="R68">
        <f>'Tennessee counties'!G48+'Tennessee counties'!G54</f>
        <v>246189</v>
      </c>
      <c r="S68" s="2">
        <f t="shared" ref="S68:S82" si="26">$S$2</f>
        <v>33249.67676767677</v>
      </c>
      <c r="T68" s="2">
        <f t="shared" si="19"/>
        <v>212939.32323232322</v>
      </c>
      <c r="U68">
        <f>'Tennessee counties'!H48+'Tennessee counties'!H54</f>
        <v>274280</v>
      </c>
      <c r="V68" s="2">
        <f t="shared" ref="V68:V82" si="27">$V$2</f>
        <v>36031.202020202021</v>
      </c>
      <c r="W68" s="2">
        <f t="shared" si="20"/>
        <v>238248.79797979799</v>
      </c>
    </row>
    <row r="69" spans="1:23" x14ac:dyDescent="0.25">
      <c r="A69" t="s">
        <v>106</v>
      </c>
      <c r="B69">
        <v>1</v>
      </c>
      <c r="C69" s="2">
        <f>'Tennessee counties'!B70</f>
        <v>5366</v>
      </c>
      <c r="D69" s="2">
        <f t="shared" si="21"/>
        <v>20410.262626262625</v>
      </c>
      <c r="E69" s="2">
        <f t="shared" si="14"/>
        <v>-15044.262626262625</v>
      </c>
      <c r="F69" s="2">
        <f>'Tennessee counties'!C70</f>
        <v>5087</v>
      </c>
      <c r="G69" s="2">
        <f t="shared" si="22"/>
        <v>22068.575757575756</v>
      </c>
      <c r="H69" s="2">
        <f t="shared" si="15"/>
        <v>-16981.575757575756</v>
      </c>
      <c r="I69">
        <f>'Tennessee counties'!D71+'Tennessee counties'!D7</f>
        <v>32895</v>
      </c>
      <c r="J69" s="2">
        <f t="shared" si="23"/>
        <v>23615</v>
      </c>
      <c r="K69" s="2">
        <f t="shared" si="16"/>
        <v>9280</v>
      </c>
      <c r="L69">
        <f>'Tennessee counties'!E71+'Tennessee counties'!E7</f>
        <v>38556</v>
      </c>
      <c r="M69" s="2">
        <f t="shared" si="24"/>
        <v>26429.858585858587</v>
      </c>
      <c r="N69" s="2">
        <f t="shared" si="17"/>
        <v>12126.141414141413</v>
      </c>
      <c r="O69">
        <f>'Tennessee counties'!F71+'Tennessee counties'!F7</f>
        <v>43971</v>
      </c>
      <c r="P69" s="2">
        <f t="shared" si="25"/>
        <v>29452.939393939392</v>
      </c>
      <c r="Q69" s="2">
        <f t="shared" si="18"/>
        <v>14518.060606060608</v>
      </c>
      <c r="R69">
        <f>'Tennessee counties'!G71+'Tennessee counties'!G7</f>
        <v>46412</v>
      </c>
      <c r="S69" s="2">
        <f t="shared" si="26"/>
        <v>33249.67676767677</v>
      </c>
      <c r="T69" s="2">
        <f t="shared" si="19"/>
        <v>13162.32323232323</v>
      </c>
      <c r="U69">
        <f>'Tennessee counties'!H71+'Tennessee counties'!H7</f>
        <v>50484</v>
      </c>
      <c r="V69" s="2">
        <f t="shared" si="27"/>
        <v>36031.202020202021</v>
      </c>
      <c r="W69" s="2">
        <f t="shared" si="20"/>
        <v>14452.797979797979</v>
      </c>
    </row>
    <row r="70" spans="1:23" x14ac:dyDescent="0.25">
      <c r="A70" t="s">
        <v>107</v>
      </c>
      <c r="B70">
        <v>1</v>
      </c>
      <c r="C70" s="2">
        <f>'Tennessee counties'!B71</f>
        <v>11357</v>
      </c>
      <c r="D70" s="2">
        <f t="shared" si="21"/>
        <v>20410.262626262625</v>
      </c>
      <c r="E70" s="2">
        <f t="shared" si="14"/>
        <v>-9053.2626262626254</v>
      </c>
      <c r="F70" s="2">
        <f>'Tennessee counties'!C71</f>
        <v>14116</v>
      </c>
      <c r="G70" s="2">
        <f t="shared" si="22"/>
        <v>22068.575757575756</v>
      </c>
      <c r="H70" s="2">
        <f t="shared" si="15"/>
        <v>-7952.5757575757561</v>
      </c>
      <c r="I70">
        <f>'Tennessee counties'!D62+'Tennessee counties'!D73</f>
        <v>19889</v>
      </c>
      <c r="J70" s="2">
        <f t="shared" si="23"/>
        <v>23615</v>
      </c>
      <c r="K70" s="2">
        <f t="shared" si="16"/>
        <v>-3726</v>
      </c>
      <c r="L70">
        <f>'Tennessee counties'!E62+'Tennessee counties'!E73</f>
        <v>19998</v>
      </c>
      <c r="M70" s="2">
        <f t="shared" si="24"/>
        <v>26429.858585858587</v>
      </c>
      <c r="N70" s="2">
        <f t="shared" si="17"/>
        <v>-6431.8585858585866</v>
      </c>
      <c r="O70">
        <f>'Tennessee counties'!F62+'Tennessee counties'!F73</f>
        <v>22746</v>
      </c>
      <c r="P70" s="2">
        <f t="shared" si="25"/>
        <v>29452.939393939392</v>
      </c>
      <c r="Q70" s="2">
        <f t="shared" si="18"/>
        <v>-6706.9393939393922</v>
      </c>
      <c r="R70">
        <f>'Tennessee counties'!G62+'Tennessee counties'!G73</f>
        <v>22121</v>
      </c>
      <c r="S70" s="2">
        <f t="shared" si="26"/>
        <v>33249.67676767677</v>
      </c>
      <c r="T70" s="2">
        <f t="shared" si="19"/>
        <v>-11128.67676767677</v>
      </c>
      <c r="U70">
        <f>'Tennessee counties'!H62+'Tennessee counties'!H73</f>
        <v>21023</v>
      </c>
      <c r="V70" s="2">
        <f t="shared" si="27"/>
        <v>36031.202020202021</v>
      </c>
      <c r="W70" s="2">
        <f t="shared" si="20"/>
        <v>-15008.202020202021</v>
      </c>
    </row>
    <row r="71" spans="1:23" x14ac:dyDescent="0.25">
      <c r="A71" t="s">
        <v>108</v>
      </c>
      <c r="B71">
        <v>1</v>
      </c>
      <c r="C71" s="2">
        <f>'Tennessee counties'!B72</f>
        <v>16890</v>
      </c>
      <c r="D71" s="2">
        <f t="shared" si="21"/>
        <v>20410.262626262625</v>
      </c>
      <c r="E71" s="2">
        <f t="shared" si="14"/>
        <v>-3520.2626262626254</v>
      </c>
      <c r="F71" s="2">
        <f>'Tennessee counties'!C72</f>
        <v>20023</v>
      </c>
      <c r="G71" s="2">
        <f t="shared" si="22"/>
        <v>22068.575757575756</v>
      </c>
      <c r="H71" s="2">
        <f t="shared" si="15"/>
        <v>-2045.5757575757561</v>
      </c>
      <c r="I71">
        <f>'Tennessee counties'!D5+'Tennessee counties'!D19+'Tennessee counties'!D32+'Tennessee counties'!D78+'Tennessee counties'!D89</f>
        <v>33321</v>
      </c>
      <c r="J71" s="2">
        <f t="shared" si="23"/>
        <v>23615</v>
      </c>
      <c r="K71" s="2">
        <f t="shared" si="16"/>
        <v>9706</v>
      </c>
      <c r="L71">
        <f>'Tennessee counties'!E5+'Tennessee counties'!E19+'Tennessee counties'!E32+'Tennessee counties'!E78+'Tennessee counties'!E89</f>
        <v>35848</v>
      </c>
      <c r="M71" s="2">
        <f t="shared" si="24"/>
        <v>26429.858585858587</v>
      </c>
      <c r="N71" s="2">
        <f t="shared" si="17"/>
        <v>9418.1414141414134</v>
      </c>
      <c r="O71">
        <f>'Tennessee counties'!F5+'Tennessee counties'!F19+'Tennessee counties'!F32+'Tennessee counties'!F78+'Tennessee counties'!F89</f>
        <v>44630</v>
      </c>
      <c r="P71" s="2">
        <f t="shared" si="25"/>
        <v>29452.939393939392</v>
      </c>
      <c r="Q71" s="2">
        <f t="shared" si="18"/>
        <v>15177.060606060608</v>
      </c>
      <c r="R71">
        <f>'Tennessee counties'!G5+'Tennessee counties'!G19+'Tennessee counties'!G32+'Tennessee counties'!G78+'Tennessee counties'!G89</f>
        <v>49666</v>
      </c>
      <c r="S71" s="2">
        <f t="shared" si="26"/>
        <v>33249.67676767677</v>
      </c>
      <c r="T71" s="2">
        <f t="shared" si="19"/>
        <v>16416.32323232323</v>
      </c>
      <c r="U71">
        <f>'Tennessee counties'!H5+'Tennessee counties'!H19+'Tennessee counties'!H32+'Tennessee counties'!H78+'Tennessee counties'!H89</f>
        <v>48044</v>
      </c>
      <c r="V71" s="2">
        <f t="shared" si="27"/>
        <v>36031.202020202021</v>
      </c>
      <c r="W71" s="2">
        <f t="shared" si="20"/>
        <v>12012.797979797979</v>
      </c>
    </row>
    <row r="72" spans="1:23" x14ac:dyDescent="0.25">
      <c r="A72" t="s">
        <v>109</v>
      </c>
      <c r="B72">
        <v>1</v>
      </c>
      <c r="C72" s="2">
        <f>'Tennessee counties'!B73</f>
        <v>14318</v>
      </c>
      <c r="D72" s="2">
        <f t="shared" si="21"/>
        <v>20410.262626262625</v>
      </c>
      <c r="E72" s="2">
        <f t="shared" si="14"/>
        <v>-6092.2626262626254</v>
      </c>
      <c r="F72" s="2">
        <f>'Tennessee counties'!C73</f>
        <v>15410</v>
      </c>
      <c r="G72" s="2">
        <f t="shared" si="22"/>
        <v>22068.575757575756</v>
      </c>
      <c r="H72" s="2">
        <f t="shared" si="15"/>
        <v>-6658.5757575757561</v>
      </c>
      <c r="I72">
        <f>'Tennessee counties'!D26+'Tennessee counties'!D70+'Tennessee counties'!D68+'Tennessee counties'!D15+'Tennessee counties'!D72</f>
        <v>64681</v>
      </c>
      <c r="J72" s="2">
        <f t="shared" si="23"/>
        <v>23615</v>
      </c>
      <c r="K72" s="2">
        <f t="shared" si="16"/>
        <v>41066</v>
      </c>
      <c r="L72">
        <f>'Tennessee counties'!E26+'Tennessee counties'!E70+'Tennessee counties'!E68+'Tennessee counties'!E15+'Tennessee counties'!E72</f>
        <v>68066</v>
      </c>
      <c r="M72" s="2">
        <f t="shared" si="24"/>
        <v>26429.858585858587</v>
      </c>
      <c r="N72" s="2">
        <f t="shared" si="17"/>
        <v>41636.141414141413</v>
      </c>
      <c r="O72">
        <f>'Tennessee counties'!F26+'Tennessee counties'!F70+'Tennessee counties'!F68+'Tennessee counties'!F15+'Tennessee counties'!F72</f>
        <v>76512</v>
      </c>
      <c r="P72" s="2">
        <f t="shared" si="25"/>
        <v>29452.939393939392</v>
      </c>
      <c r="Q72" s="2">
        <f t="shared" si="18"/>
        <v>47059.060606060608</v>
      </c>
      <c r="R72">
        <f>'Tennessee counties'!G26+'Tennessee counties'!G70+'Tennessee counties'!G68+'Tennessee counties'!G15+'Tennessee counties'!G72</f>
        <v>76146</v>
      </c>
      <c r="S72" s="2">
        <f t="shared" si="26"/>
        <v>33249.67676767677</v>
      </c>
      <c r="T72" s="2">
        <f t="shared" si="19"/>
        <v>42896.32323232323</v>
      </c>
      <c r="U72">
        <f>'Tennessee counties'!H26+'Tennessee counties'!H70+'Tennessee counties'!H68+'Tennessee counties'!H15+'Tennessee counties'!H72</f>
        <v>68905</v>
      </c>
      <c r="V72" s="2">
        <f t="shared" si="27"/>
        <v>36031.202020202021</v>
      </c>
      <c r="W72" s="2">
        <f t="shared" si="20"/>
        <v>32873.797979797979</v>
      </c>
    </row>
    <row r="73" spans="1:23" x14ac:dyDescent="0.25">
      <c r="A73" t="s">
        <v>110</v>
      </c>
      <c r="B73">
        <v>1</v>
      </c>
      <c r="C73" s="2">
        <f>'Tennessee counties'!B74</f>
        <v>22738</v>
      </c>
      <c r="D73" s="2">
        <f t="shared" si="21"/>
        <v>20410.262626262625</v>
      </c>
      <c r="E73" s="2">
        <f t="shared" si="14"/>
        <v>2327.7373737373746</v>
      </c>
      <c r="F73" s="2">
        <f>'Tennessee counties'!C74</f>
        <v>22860</v>
      </c>
      <c r="G73" s="2">
        <f t="shared" si="22"/>
        <v>22068.575757575756</v>
      </c>
      <c r="H73" s="2">
        <f t="shared" si="15"/>
        <v>791.42424242424386</v>
      </c>
      <c r="I73">
        <f>'Tennessee counties'!D55+'Tennessee counties'!D84+'Tennessee counties'!D86</f>
        <v>58837</v>
      </c>
      <c r="J73" s="2">
        <f t="shared" si="23"/>
        <v>23615</v>
      </c>
      <c r="K73" s="2">
        <f t="shared" si="16"/>
        <v>35222</v>
      </c>
      <c r="L73">
        <f>'Tennessee counties'!E55+'Tennessee counties'!E84+'Tennessee counties'!E86</f>
        <v>63270</v>
      </c>
      <c r="M73" s="2">
        <f t="shared" si="24"/>
        <v>26429.858585858587</v>
      </c>
      <c r="N73" s="2">
        <f t="shared" si="17"/>
        <v>36840.141414141413</v>
      </c>
      <c r="O73">
        <f>'Tennessee counties'!F55+'Tennessee counties'!F84+'Tennessee counties'!F86</f>
        <v>69613</v>
      </c>
      <c r="P73" s="2">
        <f t="shared" si="25"/>
        <v>29452.939393939392</v>
      </c>
      <c r="Q73" s="2">
        <f t="shared" si="18"/>
        <v>40160.060606060608</v>
      </c>
      <c r="R73">
        <f>'Tennessee counties'!G55+'Tennessee counties'!G84+'Tennessee counties'!G86</f>
        <v>71077</v>
      </c>
      <c r="S73" s="2">
        <f t="shared" si="26"/>
        <v>33249.67676767677</v>
      </c>
      <c r="T73" s="2">
        <f t="shared" si="19"/>
        <v>37827.32323232323</v>
      </c>
      <c r="U73">
        <f>'Tennessee counties'!H55+'Tennessee counties'!H84+'Tennessee counties'!H86</f>
        <v>74793</v>
      </c>
      <c r="V73" s="2">
        <f t="shared" si="27"/>
        <v>36031.202020202021</v>
      </c>
      <c r="W73" s="2">
        <f t="shared" si="20"/>
        <v>38761.797979797979</v>
      </c>
    </row>
    <row r="74" spans="1:23" x14ac:dyDescent="0.25">
      <c r="A74" t="s">
        <v>111</v>
      </c>
      <c r="B74">
        <v>1</v>
      </c>
      <c r="C74" s="2">
        <f>'Tennessee counties'!B75</f>
        <v>25029</v>
      </c>
      <c r="D74" s="2">
        <f t="shared" si="21"/>
        <v>20410.262626262625</v>
      </c>
      <c r="E74" s="2">
        <f t="shared" si="14"/>
        <v>4618.7373737373746</v>
      </c>
      <c r="F74" s="2">
        <f>'Tennessee counties'!C75</f>
        <v>25466</v>
      </c>
      <c r="G74" s="2">
        <f t="shared" si="22"/>
        <v>22068.575757575756</v>
      </c>
      <c r="H74" s="2">
        <f t="shared" si="15"/>
        <v>3397.4242424242439</v>
      </c>
      <c r="I74">
        <f>'Tennessee counties'!D20+'Tennessee counties'!D96</f>
        <v>194056</v>
      </c>
      <c r="J74" s="2">
        <f t="shared" si="23"/>
        <v>23615</v>
      </c>
      <c r="K74" s="2">
        <f t="shared" si="16"/>
        <v>170441</v>
      </c>
      <c r="L74">
        <f>'Tennessee counties'!E20+'Tennessee counties'!E96</f>
        <v>246783</v>
      </c>
      <c r="M74" s="2">
        <f t="shared" si="24"/>
        <v>26429.858585858587</v>
      </c>
      <c r="N74" s="2">
        <f t="shared" si="17"/>
        <v>220353.1414141414</v>
      </c>
      <c r="O74">
        <f>'Tennessee counties'!F20+'Tennessee counties'!F96</f>
        <v>282534</v>
      </c>
      <c r="P74" s="2">
        <f t="shared" si="25"/>
        <v>29452.939393939392</v>
      </c>
      <c r="Q74" s="2">
        <f t="shared" si="18"/>
        <v>253081.06060606061</v>
      </c>
      <c r="R74">
        <f>'Tennessee counties'!G20+'Tennessee counties'!G96</f>
        <v>348076</v>
      </c>
      <c r="S74" s="2">
        <f t="shared" si="26"/>
        <v>33249.67676767677</v>
      </c>
      <c r="T74" s="2">
        <f t="shared" si="19"/>
        <v>314826.32323232322</v>
      </c>
      <c r="U74">
        <f>'Tennessee counties'!H20+'Tennessee counties'!H96</f>
        <v>427411</v>
      </c>
      <c r="V74" s="2">
        <f t="shared" si="27"/>
        <v>36031.202020202021</v>
      </c>
      <c r="W74" s="2">
        <f t="shared" si="20"/>
        <v>391379.79797979799</v>
      </c>
    </row>
    <row r="75" spans="1:23" x14ac:dyDescent="0.25">
      <c r="A75" t="s">
        <v>112</v>
      </c>
      <c r="B75">
        <v>1</v>
      </c>
      <c r="C75" s="2">
        <f>'Tennessee counties'!B76</f>
        <v>33543</v>
      </c>
      <c r="D75" s="2">
        <f t="shared" si="21"/>
        <v>20410.262626262625</v>
      </c>
      <c r="E75" s="2">
        <f t="shared" si="14"/>
        <v>13132.737373737375</v>
      </c>
      <c r="F75" s="2">
        <f>'Tennessee counties'!C76</f>
        <v>33199</v>
      </c>
      <c r="G75" s="2">
        <f t="shared" si="22"/>
        <v>22068.575757575756</v>
      </c>
      <c r="H75" s="2">
        <f t="shared" si="15"/>
        <v>11130.424242424244</v>
      </c>
      <c r="I75">
        <f>'Tennessee counties'!D29+'Tennessee counties'!D52+'Tennessee counties'!D59+'Tennessee counties'!D92</f>
        <v>66934</v>
      </c>
      <c r="J75" s="2">
        <f t="shared" si="23"/>
        <v>23615</v>
      </c>
      <c r="K75" s="2">
        <f t="shared" si="16"/>
        <v>43319</v>
      </c>
      <c r="L75">
        <f>'Tennessee counties'!E29+'Tennessee counties'!E52+'Tennessee counties'!E59+'Tennessee counties'!E92</f>
        <v>62957</v>
      </c>
      <c r="M75" s="2">
        <f t="shared" si="24"/>
        <v>26429.858585858587</v>
      </c>
      <c r="N75" s="2">
        <f t="shared" si="17"/>
        <v>36527.141414141413</v>
      </c>
      <c r="O75">
        <f>'Tennessee counties'!F29+'Tennessee counties'!F52+'Tennessee counties'!F59+'Tennessee counties'!F92</f>
        <v>67867</v>
      </c>
      <c r="P75" s="2">
        <f t="shared" si="25"/>
        <v>29452.939393939392</v>
      </c>
      <c r="Q75" s="2">
        <f t="shared" si="18"/>
        <v>38414.060606060608</v>
      </c>
      <c r="R75">
        <f>'Tennessee counties'!G29+'Tennessee counties'!G52+'Tennessee counties'!G59+'Tennessee counties'!G92</f>
        <v>67423</v>
      </c>
      <c r="S75" s="2">
        <f t="shared" si="26"/>
        <v>33249.67676767677</v>
      </c>
      <c r="T75" s="2">
        <f t="shared" si="19"/>
        <v>34173.32323232323</v>
      </c>
      <c r="U75">
        <f>'Tennessee counties'!H29+'Tennessee counties'!H52+'Tennessee counties'!H59+'Tennessee counties'!H92</f>
        <v>61623</v>
      </c>
      <c r="V75" s="2">
        <f t="shared" si="27"/>
        <v>36031.202020202021</v>
      </c>
      <c r="W75" s="2">
        <f t="shared" si="20"/>
        <v>25591.797979797979</v>
      </c>
    </row>
    <row r="76" spans="1:23" x14ac:dyDescent="0.25">
      <c r="A76" t="s">
        <v>113</v>
      </c>
      <c r="B76">
        <v>1</v>
      </c>
      <c r="C76" s="2">
        <f>'Tennessee counties'!B77</f>
        <v>11077</v>
      </c>
      <c r="D76" s="2">
        <f t="shared" si="21"/>
        <v>20410.262626262625</v>
      </c>
      <c r="E76" s="2">
        <f t="shared" si="14"/>
        <v>-9333.2626262626254</v>
      </c>
      <c r="F76" s="2">
        <f>'Tennessee counties'!C77</f>
        <v>12947</v>
      </c>
      <c r="G76" s="2">
        <f t="shared" si="22"/>
        <v>22068.575757575756</v>
      </c>
      <c r="H76" s="2">
        <f t="shared" si="15"/>
        <v>-9121.5757575757561</v>
      </c>
      <c r="I76">
        <f>'Tennessee counties'!D95+'Tennessee counties'!D12+'Tennessee counties'!D75</f>
        <v>59069</v>
      </c>
      <c r="J76" s="2">
        <f t="shared" si="23"/>
        <v>23615</v>
      </c>
      <c r="K76" s="2">
        <f t="shared" si="16"/>
        <v>35454</v>
      </c>
      <c r="L76">
        <f>'Tennessee counties'!E95+'Tennessee counties'!E12+'Tennessee counties'!E75</f>
        <v>60061</v>
      </c>
      <c r="M76" s="2">
        <f t="shared" si="24"/>
        <v>26429.858585858587</v>
      </c>
      <c r="N76" s="2">
        <f t="shared" si="17"/>
        <v>33631.141414141413</v>
      </c>
      <c r="O76">
        <f>'Tennessee counties'!F95+'Tennessee counties'!F12+'Tennessee counties'!F75</f>
        <v>64194</v>
      </c>
      <c r="P76" s="2">
        <f t="shared" si="25"/>
        <v>29452.939393939392</v>
      </c>
      <c r="Q76" s="2">
        <f t="shared" si="18"/>
        <v>34741.060606060608</v>
      </c>
      <c r="R76">
        <f>'Tennessee counties'!G95+'Tennessee counties'!G12+'Tennessee counties'!G75</f>
        <v>60498</v>
      </c>
      <c r="S76" s="2">
        <f t="shared" si="26"/>
        <v>33249.67676767677</v>
      </c>
      <c r="T76" s="2">
        <f t="shared" si="19"/>
        <v>27248.32323232323</v>
      </c>
      <c r="U76">
        <f>'Tennessee counties'!H95+'Tennessee counties'!H12+'Tennessee counties'!H75</f>
        <v>62030</v>
      </c>
      <c r="V76" s="2">
        <f t="shared" si="27"/>
        <v>36031.202020202021</v>
      </c>
      <c r="W76" s="2">
        <f t="shared" si="20"/>
        <v>25998.797979797979</v>
      </c>
    </row>
    <row r="77" spans="1:23" x14ac:dyDescent="0.25">
      <c r="A77" t="s">
        <v>114</v>
      </c>
      <c r="B77">
        <v>1</v>
      </c>
      <c r="C77" s="2">
        <f>'Tennessee counties'!B78</f>
        <v>3326</v>
      </c>
      <c r="D77" s="2">
        <f t="shared" si="21"/>
        <v>20410.262626262625</v>
      </c>
      <c r="E77" s="2">
        <f t="shared" si="14"/>
        <v>-17084.262626262625</v>
      </c>
      <c r="F77" s="2">
        <f>'Tennessee counties'!C78</f>
        <v>4202</v>
      </c>
      <c r="G77" s="2">
        <f t="shared" si="22"/>
        <v>22068.575757575756</v>
      </c>
      <c r="H77" s="2">
        <f t="shared" si="15"/>
        <v>-17866.575757575756</v>
      </c>
      <c r="I77">
        <f>'Tennessee counties'!D64+'Tennessee counties'!D43</f>
        <v>38477</v>
      </c>
      <c r="J77" s="2">
        <f t="shared" si="23"/>
        <v>23615</v>
      </c>
      <c r="K77" s="2">
        <f t="shared" si="16"/>
        <v>14862</v>
      </c>
      <c r="L77">
        <f>'Tennessee counties'!E64+'Tennessee counties'!E43</f>
        <v>36437</v>
      </c>
      <c r="M77" s="2">
        <f t="shared" si="24"/>
        <v>26429.858585858587</v>
      </c>
      <c r="N77" s="2">
        <f t="shared" si="17"/>
        <v>10007.141414141413</v>
      </c>
      <c r="O77">
        <f>'Tennessee counties'!F64+'Tennessee counties'!F43</f>
        <v>39778</v>
      </c>
      <c r="P77" s="2">
        <f t="shared" si="25"/>
        <v>29452.939393939392</v>
      </c>
      <c r="Q77" s="2">
        <f t="shared" si="18"/>
        <v>10325.060606060608</v>
      </c>
      <c r="R77">
        <f>'Tennessee counties'!G64+'Tennessee counties'!G43</f>
        <v>49504</v>
      </c>
      <c r="S77" s="2">
        <f t="shared" si="26"/>
        <v>33249.67676767677</v>
      </c>
      <c r="T77" s="2">
        <f t="shared" si="19"/>
        <v>16254.32323232323</v>
      </c>
      <c r="U77">
        <f>'Tennessee counties'!H64+'Tennessee counties'!H43</f>
        <v>60439</v>
      </c>
      <c r="V77" s="2">
        <f t="shared" si="27"/>
        <v>36031.202020202021</v>
      </c>
      <c r="W77" s="2">
        <f t="shared" si="20"/>
        <v>24407.797979797979</v>
      </c>
    </row>
    <row r="78" spans="1:23" x14ac:dyDescent="0.25">
      <c r="A78" t="s">
        <v>115</v>
      </c>
      <c r="B78">
        <v>1</v>
      </c>
      <c r="C78" s="2">
        <f>'Tennessee counties'!B79</f>
        <v>22021</v>
      </c>
      <c r="D78" s="2">
        <f t="shared" si="21"/>
        <v>20410.262626262625</v>
      </c>
      <c r="E78" s="2">
        <f t="shared" si="14"/>
        <v>1610.7373737373746</v>
      </c>
      <c r="F78" s="2">
        <f>'Tennessee counties'!C79</f>
        <v>22296</v>
      </c>
      <c r="G78" s="2">
        <f t="shared" si="22"/>
        <v>22068.575757575756</v>
      </c>
      <c r="H78" s="2">
        <f t="shared" si="15"/>
        <v>227.42424242424386</v>
      </c>
      <c r="I78">
        <f>'Tennessee counties'!D44+'Tennessee counties'!D69</f>
        <v>21247</v>
      </c>
      <c r="J78" s="2">
        <f t="shared" si="23"/>
        <v>23615</v>
      </c>
      <c r="K78" s="2">
        <f t="shared" si="16"/>
        <v>-2368</v>
      </c>
      <c r="L78">
        <f>'Tennessee counties'!E44+'Tennessee counties'!E69</f>
        <v>19186</v>
      </c>
      <c r="M78" s="2">
        <f t="shared" si="24"/>
        <v>26429.858585858587</v>
      </c>
      <c r="N78" s="2">
        <f t="shared" si="17"/>
        <v>-7243.8585858585866</v>
      </c>
      <c r="O78">
        <f>'Tennessee counties'!F44+'Tennessee counties'!F69</f>
        <v>19956</v>
      </c>
      <c r="P78" s="2">
        <f t="shared" si="25"/>
        <v>29452.939393939392</v>
      </c>
      <c r="Q78" s="2">
        <f t="shared" si="18"/>
        <v>-9496.9393939393922</v>
      </c>
      <c r="R78">
        <f>'Tennessee counties'!G44+'Tennessee counties'!G69</f>
        <v>17492</v>
      </c>
      <c r="S78" s="2">
        <f t="shared" si="26"/>
        <v>33249.67676767677</v>
      </c>
      <c r="T78" s="2">
        <f t="shared" si="19"/>
        <v>-15757.67676767677</v>
      </c>
      <c r="U78">
        <f>'Tennessee counties'!H44+'Tennessee counties'!H69</f>
        <v>16784</v>
      </c>
      <c r="V78" s="2">
        <f t="shared" si="27"/>
        <v>36031.202020202021</v>
      </c>
      <c r="W78" s="2">
        <f t="shared" si="20"/>
        <v>-19247.202020202021</v>
      </c>
    </row>
    <row r="79" spans="1:23" x14ac:dyDescent="0.25">
      <c r="A79" t="s">
        <v>116</v>
      </c>
      <c r="B79">
        <v>1</v>
      </c>
      <c r="C79" s="2">
        <f>'Tennessee counties'!B80</f>
        <v>153557</v>
      </c>
      <c r="D79" s="2">
        <f t="shared" si="21"/>
        <v>20410.262626262625</v>
      </c>
      <c r="E79" s="2">
        <f t="shared" si="14"/>
        <v>133146.73737373739</v>
      </c>
      <c r="F79" s="2">
        <f>'Tennessee counties'!C80</f>
        <v>191439</v>
      </c>
      <c r="G79" s="2">
        <f t="shared" si="22"/>
        <v>22068.575757575756</v>
      </c>
      <c r="H79" s="2">
        <f t="shared" si="15"/>
        <v>169370.42424242425</v>
      </c>
      <c r="I79">
        <f>'Tennessee counties'!D4+'Tennessee counties'!D21</f>
        <v>22244</v>
      </c>
      <c r="J79" s="2">
        <f t="shared" si="23"/>
        <v>23615</v>
      </c>
      <c r="K79" s="2">
        <f t="shared" si="16"/>
        <v>-1371</v>
      </c>
      <c r="L79">
        <f>'Tennessee counties'!E4+'Tennessee counties'!E21</f>
        <v>21343</v>
      </c>
      <c r="M79" s="2">
        <f t="shared" si="24"/>
        <v>26429.858585858587</v>
      </c>
      <c r="N79" s="2">
        <f t="shared" si="17"/>
        <v>-5086.8585858585866</v>
      </c>
      <c r="O79">
        <f>'Tennessee counties'!F4+'Tennessee counties'!F21</f>
        <v>22237</v>
      </c>
      <c r="P79" s="2">
        <f t="shared" si="25"/>
        <v>29452.939393939392</v>
      </c>
      <c r="Q79" s="2">
        <f t="shared" si="18"/>
        <v>-7215.9393939393922</v>
      </c>
      <c r="R79">
        <f>'Tennessee counties'!G4+'Tennessee counties'!G21</f>
        <v>20937</v>
      </c>
      <c r="S79" s="2">
        <f t="shared" si="26"/>
        <v>33249.67676767677</v>
      </c>
      <c r="T79" s="2">
        <f t="shared" si="19"/>
        <v>-12312.67676767677</v>
      </c>
      <c r="U79">
        <f>'Tennessee counties'!H4+'Tennessee counties'!H21</f>
        <v>18986</v>
      </c>
      <c r="V79" s="2">
        <f t="shared" si="27"/>
        <v>36031.202020202021</v>
      </c>
      <c r="W79" s="2">
        <f t="shared" si="20"/>
        <v>-17045.202020202021</v>
      </c>
    </row>
    <row r="80" spans="1:23" x14ac:dyDescent="0.25">
      <c r="A80" t="s">
        <v>117</v>
      </c>
      <c r="B80">
        <v>1</v>
      </c>
      <c r="C80" s="2">
        <f>'Tennessee counties'!B81</f>
        <v>19026</v>
      </c>
      <c r="D80" s="2">
        <f t="shared" si="21"/>
        <v>20410.262626262625</v>
      </c>
      <c r="E80" s="2">
        <f t="shared" si="14"/>
        <v>-1384.2626262626254</v>
      </c>
      <c r="F80" s="2">
        <f>'Tennessee counties'!C81</f>
        <v>18548</v>
      </c>
      <c r="G80" s="2">
        <f t="shared" si="22"/>
        <v>22068.575757575756</v>
      </c>
      <c r="H80" s="2">
        <f t="shared" si="15"/>
        <v>-3520.5757575757561</v>
      </c>
      <c r="I80">
        <f>'Tennessee counties'!D41+'Tennessee counties'!D10+'Tennessee counties'!D93</f>
        <v>82565</v>
      </c>
      <c r="J80" s="2">
        <f t="shared" si="23"/>
        <v>23615</v>
      </c>
      <c r="K80" s="2">
        <f t="shared" si="16"/>
        <v>58950</v>
      </c>
      <c r="L80">
        <f>'Tennessee counties'!E41+'Tennessee counties'!E10+'Tennessee counties'!E93</f>
        <v>81826</v>
      </c>
      <c r="M80" s="2">
        <f t="shared" si="24"/>
        <v>26429.858585858587</v>
      </c>
      <c r="N80" s="2">
        <f t="shared" si="17"/>
        <v>55396.141414141413</v>
      </c>
      <c r="O80">
        <f>'Tennessee counties'!F41+'Tennessee counties'!F10+'Tennessee counties'!F93</f>
        <v>81353</v>
      </c>
      <c r="P80" s="2">
        <f t="shared" si="25"/>
        <v>29452.939393939392</v>
      </c>
      <c r="Q80" s="2">
        <f t="shared" si="18"/>
        <v>51900.060606060608</v>
      </c>
      <c r="R80">
        <f>'Tennessee counties'!G41+'Tennessee counties'!G10+'Tennessee counties'!G93</f>
        <v>78343</v>
      </c>
      <c r="S80" s="2">
        <f t="shared" si="26"/>
        <v>33249.67676767677</v>
      </c>
      <c r="T80" s="2">
        <f t="shared" si="19"/>
        <v>45093.32323232323</v>
      </c>
      <c r="U80">
        <f>'Tennessee counties'!H41+'Tennessee counties'!H10+'Tennessee counties'!H93</f>
        <v>69978</v>
      </c>
      <c r="V80" s="2">
        <f t="shared" si="27"/>
        <v>36031.202020202021</v>
      </c>
      <c r="W80" s="2">
        <f t="shared" si="20"/>
        <v>33946.797979797979</v>
      </c>
    </row>
    <row r="81" spans="1:23" x14ac:dyDescent="0.25">
      <c r="A81" t="s">
        <v>118</v>
      </c>
      <c r="B81">
        <v>1</v>
      </c>
      <c r="C81" s="2">
        <f>'Tennessee counties'!B82</f>
        <v>15224</v>
      </c>
      <c r="D81" s="2">
        <f t="shared" si="21"/>
        <v>20410.262626262625</v>
      </c>
      <c r="E81" s="2">
        <f t="shared" si="14"/>
        <v>-5186.2626262626254</v>
      </c>
      <c r="F81" s="2">
        <f>'Tennessee counties'!C82</f>
        <v>14860</v>
      </c>
      <c r="G81" s="2">
        <f t="shared" si="22"/>
        <v>22068.575757575756</v>
      </c>
      <c r="H81" s="2">
        <f t="shared" si="15"/>
        <v>-7208.5757575757561</v>
      </c>
      <c r="I81">
        <f>'Tennessee counties'!D56+'Tennessee counties'!D40</f>
        <v>36786</v>
      </c>
      <c r="J81" s="2">
        <f t="shared" si="23"/>
        <v>23615</v>
      </c>
      <c r="K81" s="2">
        <f t="shared" si="16"/>
        <v>13171</v>
      </c>
      <c r="L81">
        <f>'Tennessee counties'!E56+'Tennessee counties'!E40</f>
        <v>37556</v>
      </c>
      <c r="M81" s="2">
        <f t="shared" si="24"/>
        <v>26429.858585858587</v>
      </c>
      <c r="N81" s="2">
        <f t="shared" si="17"/>
        <v>11126.141414141413</v>
      </c>
      <c r="O81">
        <f>'Tennessee counties'!F56+'Tennessee counties'!F40</f>
        <v>39644</v>
      </c>
      <c r="P81" s="2">
        <f t="shared" si="25"/>
        <v>29452.939393939392</v>
      </c>
      <c r="Q81" s="2">
        <f t="shared" si="18"/>
        <v>10191.060606060608</v>
      </c>
      <c r="R81">
        <f>'Tennessee counties'!G56+'Tennessee counties'!G40</f>
        <v>37563</v>
      </c>
      <c r="S81" s="2">
        <f t="shared" si="26"/>
        <v>33249.67676767677</v>
      </c>
      <c r="T81" s="2">
        <f t="shared" si="19"/>
        <v>4313.3232323232296</v>
      </c>
      <c r="U81">
        <f>'Tennessee counties'!H56+'Tennessee counties'!H40</f>
        <v>34200</v>
      </c>
      <c r="V81" s="2">
        <f t="shared" si="27"/>
        <v>36031.202020202021</v>
      </c>
      <c r="W81" s="2">
        <f t="shared" si="20"/>
        <v>-1831.2020202020212</v>
      </c>
    </row>
    <row r="82" spans="1:23" x14ac:dyDescent="0.25">
      <c r="A82" t="s">
        <v>119</v>
      </c>
      <c r="B82">
        <v>1</v>
      </c>
      <c r="C82" s="2">
        <f>'Tennessee counties'!B83</f>
        <v>24935</v>
      </c>
      <c r="D82" s="2">
        <f t="shared" si="21"/>
        <v>20410.262626262625</v>
      </c>
      <c r="E82" s="2">
        <f t="shared" si="14"/>
        <v>4524.7373737373746</v>
      </c>
      <c r="F82" s="2">
        <f>'Tennessee counties'!C83</f>
        <v>28120</v>
      </c>
      <c r="G82" s="2">
        <f t="shared" si="22"/>
        <v>22068.575757575756</v>
      </c>
      <c r="H82" s="2">
        <f t="shared" si="15"/>
        <v>6051.4242424242439</v>
      </c>
      <c r="I82">
        <f>'Tennessee counties'!D85+'Tennessee counties'!D50</f>
        <v>51752</v>
      </c>
      <c r="J82" s="2">
        <f t="shared" si="23"/>
        <v>23615</v>
      </c>
      <c r="K82" s="2">
        <f t="shared" si="16"/>
        <v>28137</v>
      </c>
      <c r="L82">
        <f>'Tennessee counties'!E85+'Tennessee counties'!E50</f>
        <v>50904</v>
      </c>
      <c r="M82" s="2">
        <f t="shared" si="24"/>
        <v>26429.858585858587</v>
      </c>
      <c r="N82" s="2">
        <f t="shared" si="17"/>
        <v>24474.141414141413</v>
      </c>
      <c r="O82">
        <f>'Tennessee counties'!F85+'Tennessee counties'!F50</f>
        <v>52497</v>
      </c>
      <c r="P82" s="2">
        <f t="shared" si="25"/>
        <v>29452.939393939392</v>
      </c>
      <c r="Q82" s="2">
        <f t="shared" si="18"/>
        <v>23044.060606060608</v>
      </c>
      <c r="R82">
        <f>'Tennessee counties'!G85+'Tennessee counties'!G50</f>
        <v>54829</v>
      </c>
      <c r="S82" s="2">
        <f t="shared" si="26"/>
        <v>33249.67676767677</v>
      </c>
      <c r="T82" s="2">
        <f t="shared" si="19"/>
        <v>21579.32323232323</v>
      </c>
      <c r="U82">
        <f>'Tennessee counties'!H85+'Tennessee counties'!H50</f>
        <v>50408</v>
      </c>
      <c r="V82" s="2">
        <f t="shared" si="27"/>
        <v>36031.202020202021</v>
      </c>
      <c r="W82" s="2">
        <f t="shared" si="20"/>
        <v>14376.797979797979</v>
      </c>
    </row>
    <row r="84" spans="1:23" x14ac:dyDescent="0.25">
      <c r="A84" t="s">
        <v>148</v>
      </c>
      <c r="C84">
        <f>(SUM(C2:C82)/SUM(C2:C82))*100</f>
        <v>100</v>
      </c>
      <c r="D84" s="2">
        <f>(SUM(D2:D82)/SUM(D2:D82))*100</f>
        <v>100</v>
      </c>
      <c r="F84">
        <f>(SUM(F2:F82)/SUM(C2:C82))*100</f>
        <v>109.19873365157993</v>
      </c>
      <c r="G84" s="2">
        <f>(SUM(G2:G82)/SUM(D2:D82))*100</f>
        <v>108.12489854578995</v>
      </c>
      <c r="I84">
        <f>(SUM(I2:I82)/SUM(C2:C82))*100</f>
        <v>176.55490319653407</v>
      </c>
      <c r="J84" s="2">
        <f>(SUM(J2:J82)/SUM(D2:D82))*100</f>
        <v>115.70159792855253</v>
      </c>
      <c r="L84">
        <f>(SUM(L2:L82)/SUM(C2:C82))*100</f>
        <v>199.47606983925115</v>
      </c>
      <c r="M84" s="2">
        <f>(SUM(M2:M82)/SUM(D2:D82))*100</f>
        <v>129.49298629724782</v>
      </c>
      <c r="O84">
        <f>(SUM(O2:O82)/SUM(C2:C82))*100</f>
        <v>222.53906705242468</v>
      </c>
      <c r="P84" s="2">
        <f>(SUM(P2:P82)/SUM(D2:D82))*100</f>
        <v>144.30455860984992</v>
      </c>
      <c r="R84">
        <f>(SUM(R2:R82)/SUM(C2:C82))*100</f>
        <v>252.70988604900876</v>
      </c>
      <c r="S84" s="2">
        <f>(SUM(S2:S82)/SUM(D2:D82))*100</f>
        <v>162.9066581676083</v>
      </c>
      <c r="U84">
        <f>(SUM(U2:U82)/SUM(C2:C82))*100</f>
        <v>275.33930149434093</v>
      </c>
      <c r="V84" s="2">
        <f>(SUM(V2:V82)/SUM(D2:D82))*100</f>
        <v>176.53473000312766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D8BBF-AB59-4378-A3A4-21BF7FBD12AE}">
  <dimension ref="A1:W3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33" sqref="C33"/>
    </sheetView>
  </sheetViews>
  <sheetFormatPr defaultRowHeight="15" x14ac:dyDescent="0.25"/>
  <cols>
    <col min="1" max="1" width="4.7109375" bestFit="1" customWidth="1"/>
    <col min="2" max="2" width="61.5703125" bestFit="1" customWidth="1"/>
    <col min="3" max="3" width="15.28515625" bestFit="1" customWidth="1"/>
    <col min="4" max="4" width="15.7109375" style="2" bestFit="1" customWidth="1"/>
    <col min="5" max="5" width="9.140625" style="2" bestFit="1" customWidth="1"/>
    <col min="6" max="6" width="7.42578125" bestFit="1" customWidth="1"/>
    <col min="7" max="7" width="15.7109375" style="2" bestFit="1" customWidth="1"/>
    <col min="8" max="8" width="9.140625" style="2" bestFit="1" customWidth="1"/>
    <col min="9" max="9" width="7.42578125" bestFit="1" customWidth="1"/>
    <col min="10" max="10" width="15.7109375" style="2" bestFit="1" customWidth="1"/>
    <col min="11" max="11" width="9.140625" style="2" bestFit="1" customWidth="1"/>
    <col min="12" max="12" width="7.42578125" bestFit="1" customWidth="1"/>
    <col min="13" max="13" width="15.7109375" style="2" bestFit="1" customWidth="1"/>
    <col min="14" max="14" width="9.140625" style="2" bestFit="1" customWidth="1"/>
    <col min="15" max="15" width="7.42578125" bestFit="1" customWidth="1"/>
    <col min="16" max="16" width="15.7109375" style="2" bestFit="1" customWidth="1"/>
    <col min="17" max="17" width="9.140625" style="2" bestFit="1" customWidth="1"/>
    <col min="18" max="18" width="7.42578125" bestFit="1" customWidth="1"/>
    <col min="19" max="19" width="15.7109375" style="2" bestFit="1" customWidth="1"/>
    <col min="20" max="20" width="9.140625" style="2" bestFit="1" customWidth="1"/>
    <col min="21" max="21" width="7.42578125" bestFit="1" customWidth="1"/>
    <col min="22" max="22" width="15.7109375" style="2" bestFit="1" customWidth="1"/>
    <col min="23" max="23" width="9.140625" style="2"/>
  </cols>
  <sheetData>
    <row r="1" spans="1:23" x14ac:dyDescent="0.25">
      <c r="A1" t="s">
        <v>121</v>
      </c>
      <c r="B1" t="s">
        <v>122</v>
      </c>
      <c r="C1" t="s">
        <v>1</v>
      </c>
      <c r="D1" s="2" t="s">
        <v>147</v>
      </c>
      <c r="E1" s="2" t="s">
        <v>120</v>
      </c>
      <c r="F1">
        <v>1910</v>
      </c>
      <c r="G1" s="2" t="s">
        <v>147</v>
      </c>
      <c r="H1" s="2" t="s">
        <v>120</v>
      </c>
      <c r="I1">
        <v>1920</v>
      </c>
      <c r="J1" s="2" t="s">
        <v>147</v>
      </c>
      <c r="K1" s="2" t="s">
        <v>120</v>
      </c>
      <c r="L1">
        <v>1930</v>
      </c>
      <c r="M1" s="2" t="s">
        <v>147</v>
      </c>
      <c r="N1" s="2" t="s">
        <v>120</v>
      </c>
      <c r="O1">
        <v>1940</v>
      </c>
      <c r="P1" s="2" t="s">
        <v>147</v>
      </c>
      <c r="Q1" s="2" t="s">
        <v>120</v>
      </c>
      <c r="R1">
        <v>1950</v>
      </c>
      <c r="S1" s="2" t="s">
        <v>147</v>
      </c>
      <c r="T1" s="2" t="s">
        <v>120</v>
      </c>
      <c r="U1">
        <v>1960</v>
      </c>
      <c r="V1" s="2" t="s">
        <v>147</v>
      </c>
      <c r="W1" s="2" t="s">
        <v>120</v>
      </c>
    </row>
    <row r="2" spans="1:23" x14ac:dyDescent="0.25">
      <c r="A2">
        <v>1</v>
      </c>
      <c r="B2" t="s">
        <v>123</v>
      </c>
      <c r="C2" s="2">
        <f>'Tennessee counties'!B47+'Tennessee counties'!B11+'Tennessee counties'!B31+'Tennessee counties'!B87+'Tennessee counties'!B91</f>
        <v>86328</v>
      </c>
      <c r="D2" s="2">
        <f>SUM('Tennessee counties'!B2:B96)/33</f>
        <v>61230.78787878788</v>
      </c>
      <c r="E2" s="2">
        <f>C2-D2</f>
        <v>25097.21212121212</v>
      </c>
      <c r="F2" s="2">
        <f>'Tennessee counties'!C47+'Tennessee counties'!C11+'Tennessee counties'!C31+'Tennessee counties'!C87+'Tennessee counties'!C91</f>
        <v>100281</v>
      </c>
      <c r="G2" s="2">
        <f>SUM('Tennessee counties'!C2:C96)/33</f>
        <v>66205.727272727279</v>
      </c>
      <c r="H2" s="2">
        <f>F2-G2</f>
        <v>34075.272727272721</v>
      </c>
      <c r="I2">
        <f>'Tennessee counties'!D47+'Tennessee counties'!D11+'Tennessee counties'!D31+'Tennessee counties'!D87+'Tennessee counties'!D91</f>
        <v>110714</v>
      </c>
      <c r="J2" s="2">
        <f>SUM('Tennessee counties'!D2:D96)/33</f>
        <v>70845</v>
      </c>
      <c r="K2" s="2">
        <f>I2-J2</f>
        <v>39869</v>
      </c>
      <c r="L2">
        <f>'Tennessee counties'!E47+'Tennessee counties'!E11+'Tennessee counties'!E31+'Tennessee counties'!E87+'Tennessee counties'!E91</f>
        <v>135034</v>
      </c>
      <c r="M2" s="2">
        <f>SUM('Tennessee counties'!E2:E96)/33</f>
        <v>79289.57575757576</v>
      </c>
      <c r="N2" s="2">
        <f>L2-M2</f>
        <v>55744.42424242424</v>
      </c>
      <c r="O2">
        <f>'Tennessee counties'!F47+'Tennessee counties'!F11+'Tennessee counties'!F31+'Tennessee counties'!F87+'Tennessee counties'!F91</f>
        <v>153289</v>
      </c>
      <c r="P2" s="2">
        <f>SUM('Tennessee counties'!F2:F96)/33</f>
        <v>88358.818181818177</v>
      </c>
      <c r="Q2" s="2">
        <f>O2-P2</f>
        <v>64930.181818181823</v>
      </c>
      <c r="R2">
        <f>'Tennessee counties'!G47+'Tennessee counties'!G11+'Tennessee counties'!G31+'Tennessee counties'!G87+'Tennessee counties'!G91</f>
        <v>171615</v>
      </c>
      <c r="S2" s="2">
        <f>SUM('Tennessee counties'!G2:G96)/33</f>
        <v>99749.030303030304</v>
      </c>
      <c r="T2" s="2">
        <f>R2-S2</f>
        <v>71865.969696969696</v>
      </c>
      <c r="U2">
        <f>'Tennessee counties'!H47+'Tennessee counties'!H11+'Tennessee counties'!H31+'Tennessee counties'!H87+'Tennessee counties'!H91</f>
        <v>174420</v>
      </c>
      <c r="V2" s="2">
        <f>SUM('Tennessee counties'!H2:H96)/33</f>
        <v>108093.60606060606</v>
      </c>
      <c r="W2" s="2">
        <f>U2-V2</f>
        <v>66326.393939393936</v>
      </c>
    </row>
    <row r="3" spans="1:23" x14ac:dyDescent="0.25">
      <c r="A3">
        <v>2</v>
      </c>
      <c r="B3" t="s">
        <v>99</v>
      </c>
      <c r="C3" s="2">
        <f>'Tennessee counties'!B83+'Tennessee counties'!B38</f>
        <v>49202</v>
      </c>
      <c r="D3" s="2">
        <f>$D$2</f>
        <v>61230.78787878788</v>
      </c>
      <c r="E3" s="2">
        <f t="shared" ref="E3:E34" si="0">C3-D3</f>
        <v>-12028.78787878788</v>
      </c>
      <c r="F3" s="2">
        <f>'Tennessee counties'!C83+'Tennessee counties'!C38</f>
        <v>51707</v>
      </c>
      <c r="G3" s="2">
        <f>$G$2</f>
        <v>66205.727272727279</v>
      </c>
      <c r="H3" s="2">
        <f t="shared" ref="H3:H34" si="1">F3-G3</f>
        <v>-14498.727272727279</v>
      </c>
      <c r="I3">
        <f>'Tennessee counties'!D83+'Tennessee counties'!D38</f>
        <v>59177</v>
      </c>
      <c r="J3" s="2">
        <f>$J$2</f>
        <v>70845</v>
      </c>
      <c r="K3" s="2">
        <f t="shared" ref="K3:K34" si="2">I3-J3</f>
        <v>-11668</v>
      </c>
      <c r="L3">
        <f>'Tennessee counties'!E83+'Tennessee counties'!E38</f>
        <v>75204</v>
      </c>
      <c r="M3" s="2">
        <f>$M$2</f>
        <v>79289.57575757576</v>
      </c>
      <c r="N3" s="2">
        <f t="shared" ref="N3:N34" si="3">L3-M3</f>
        <v>-4085.5757575757598</v>
      </c>
      <c r="O3">
        <f>'Tennessee counties'!F83+'Tennessee counties'!F38</f>
        <v>97608</v>
      </c>
      <c r="P3" s="2">
        <f>$P$2</f>
        <v>88358.818181818177</v>
      </c>
      <c r="Q3" s="2">
        <f t="shared" ref="Q3:Q34" si="4">O3-P3</f>
        <v>9249.1818181818235</v>
      </c>
      <c r="R3">
        <f>'Tennessee counties'!G83+'Tennessee counties'!G38</f>
        <v>125557</v>
      </c>
      <c r="S3" s="2">
        <f>$S$2</f>
        <v>99749.030303030304</v>
      </c>
      <c r="T3" s="2">
        <f>R3-S3</f>
        <v>25807.969696969696</v>
      </c>
      <c r="U3">
        <f>'Tennessee counties'!H83+'Tennessee counties'!H38</f>
        <v>144607</v>
      </c>
      <c r="V3" s="2">
        <f>$V$2</f>
        <v>108093.60606060606</v>
      </c>
      <c r="W3" s="2">
        <f t="shared" ref="W3:W34" si="5">U3-V3</f>
        <v>36513.393939393936</v>
      </c>
    </row>
    <row r="4" spans="1:23" x14ac:dyDescent="0.25">
      <c r="A4">
        <v>3</v>
      </c>
      <c r="B4" t="s">
        <v>124</v>
      </c>
      <c r="C4" s="2">
        <f>'Tennessee counties'!B35+'Tennessee counties'!B66+'Tennessee counties'!B30+'Tennessee counties'!B14+'Tennessee counties'!B88+'Tennessee counties'!B8+'Tennessee counties'!B77</f>
        <v>98230</v>
      </c>
      <c r="D4" s="2">
        <f t="shared" ref="D4:D34" si="6">$D$2</f>
        <v>61230.78787878788</v>
      </c>
      <c r="E4" s="2">
        <f t="shared" si="0"/>
        <v>36999.21212121212</v>
      </c>
      <c r="F4" s="2">
        <f>'Tennessee counties'!C35+'Tennessee counties'!C66+'Tennessee counties'!C30+'Tennessee counties'!C14+'Tennessee counties'!C88+'Tennessee counties'!C8+'Tennessee counties'!C77</f>
        <v>111376</v>
      </c>
      <c r="G4" s="2">
        <f t="shared" ref="G4:G34" si="7">$G$2</f>
        <v>66205.727272727279</v>
      </c>
      <c r="H4" s="2">
        <f t="shared" si="1"/>
        <v>45170.272727272721</v>
      </c>
      <c r="I4">
        <f>'Tennessee counties'!D35+'Tennessee counties'!D66+'Tennessee counties'!D30+'Tennessee counties'!D14+'Tennessee counties'!D88+'Tennessee counties'!D8+'Tennessee counties'!D77</f>
        <v>113685</v>
      </c>
      <c r="J4" s="2">
        <f t="shared" ref="J4:J34" si="8">$J$2</f>
        <v>70845</v>
      </c>
      <c r="K4" s="2">
        <f t="shared" si="2"/>
        <v>42840</v>
      </c>
      <c r="L4">
        <f>'Tennessee counties'!E35+'Tennessee counties'!E66+'Tennessee counties'!E30+'Tennessee counties'!E14+'Tennessee counties'!E88+'Tennessee counties'!E8+'Tennessee counties'!E77</f>
        <v>112604</v>
      </c>
      <c r="M4" s="2">
        <f t="shared" ref="M4:M34" si="9">$M$2</f>
        <v>79289.57575757576</v>
      </c>
      <c r="N4" s="2">
        <f t="shared" si="3"/>
        <v>33314.42424242424</v>
      </c>
      <c r="O4">
        <f>'Tennessee counties'!F35+'Tennessee counties'!F66+'Tennessee counties'!F30+'Tennessee counties'!F14+'Tennessee counties'!F88+'Tennessee counties'!F8+'Tennessee counties'!F77</f>
        <v>121613</v>
      </c>
      <c r="P4" s="2">
        <f t="shared" ref="P4:P34" si="10">$P$2</f>
        <v>88358.818181818177</v>
      </c>
      <c r="Q4" s="2">
        <f t="shared" si="4"/>
        <v>33254.181818181823</v>
      </c>
      <c r="R4">
        <f>'Tennessee counties'!G35+'Tennessee counties'!G66+'Tennessee counties'!G30+'Tennessee counties'!G14+'Tennessee counties'!G88+'Tennessee counties'!G8+'Tennessee counties'!G77</f>
        <v>123118</v>
      </c>
      <c r="S4" s="2">
        <f>$S$2</f>
        <v>99749.030303030304</v>
      </c>
      <c r="T4" s="2">
        <f t="shared" ref="T3:T34" si="11">R4-S4</f>
        <v>23368.969696969696</v>
      </c>
      <c r="U4">
        <f>'Tennessee counties'!H35+'Tennessee counties'!H66+'Tennessee counties'!H30+'Tennessee counties'!H14+'Tennessee counties'!H88+'Tennessee counties'!H8+'Tennessee counties'!H77</f>
        <v>105481</v>
      </c>
      <c r="V4" s="2">
        <f t="shared" ref="V4:V34" si="12">$V$2</f>
        <v>108093.60606060606</v>
      </c>
      <c r="W4" s="2">
        <f t="shared" si="5"/>
        <v>-2612.6060606060637</v>
      </c>
    </row>
    <row r="5" spans="1:23" x14ac:dyDescent="0.25">
      <c r="A5">
        <v>4</v>
      </c>
      <c r="B5" t="s">
        <v>125</v>
      </c>
      <c r="C5" s="2">
        <f>'Tennessee counties'!B16+'Tennessee counties'!B34+'Tennessee counties'!B46+'Tennessee counties'!B6+'Tennessee counties'!B79</f>
        <v>146072</v>
      </c>
      <c r="D5" s="2">
        <f t="shared" si="6"/>
        <v>61230.78787878788</v>
      </c>
      <c r="E5" s="2">
        <f t="shared" si="0"/>
        <v>84841.212121212127</v>
      </c>
      <c r="F5" s="2">
        <f>'Tennessee counties'!C16+'Tennessee counties'!C34+'Tennessee counties'!C46+'Tennessee counties'!C6+'Tennessee counties'!C79</f>
        <v>174736</v>
      </c>
      <c r="G5" s="2">
        <f t="shared" si="7"/>
        <v>66205.727272727279</v>
      </c>
      <c r="H5" s="2">
        <f t="shared" si="1"/>
        <v>108530.27272727272</v>
      </c>
      <c r="I5">
        <f>'Tennessee counties'!D16+'Tennessee counties'!D34+'Tennessee counties'!D46+'Tennessee counties'!D6+'Tennessee counties'!D79</f>
        <v>205597</v>
      </c>
      <c r="J5" s="2">
        <f t="shared" si="8"/>
        <v>70845</v>
      </c>
      <c r="K5" s="2">
        <f t="shared" si="2"/>
        <v>134752</v>
      </c>
      <c r="L5">
        <f>'Tennessee counties'!E16+'Tennessee counties'!E34+'Tennessee counties'!E46+'Tennessee counties'!E6+'Tennessee counties'!E79</f>
        <v>253655</v>
      </c>
      <c r="M5" s="2">
        <f t="shared" si="9"/>
        <v>79289.57575757576</v>
      </c>
      <c r="N5" s="2">
        <f t="shared" si="3"/>
        <v>174365.42424242425</v>
      </c>
      <c r="O5">
        <f>'Tennessee counties'!F16+'Tennessee counties'!F34+'Tennessee counties'!F46+'Tennessee counties'!F6+'Tennessee counties'!F79</f>
        <v>287589</v>
      </c>
      <c r="P5" s="2">
        <f t="shared" si="10"/>
        <v>88358.818181818177</v>
      </c>
      <c r="Q5" s="2">
        <f t="shared" si="4"/>
        <v>199230.18181818182</v>
      </c>
      <c r="R5">
        <f>'Tennessee counties'!G16+'Tennessee counties'!G34+'Tennessee counties'!G46+'Tennessee counties'!G6+'Tennessee counties'!G79</f>
        <v>328979</v>
      </c>
      <c r="S5" s="2">
        <f>$S$2</f>
        <v>99749.030303030304</v>
      </c>
      <c r="T5" s="2">
        <f t="shared" si="11"/>
        <v>229229.9696969697</v>
      </c>
      <c r="U5">
        <f>'Tennessee counties'!H16+'Tennessee counties'!H34+'Tennessee counties'!H46+'Tennessee counties'!H6+'Tennessee counties'!H79</f>
        <v>364564</v>
      </c>
      <c r="V5" s="2">
        <f t="shared" si="12"/>
        <v>108093.60606060606</v>
      </c>
      <c r="W5" s="2">
        <f t="shared" si="5"/>
        <v>256470.39393939392</v>
      </c>
    </row>
    <row r="6" spans="1:23" x14ac:dyDescent="0.25">
      <c r="A6">
        <v>5</v>
      </c>
      <c r="B6" t="s">
        <v>48</v>
      </c>
      <c r="C6" s="2">
        <f>'Tennessee counties'!B48</f>
        <v>74302</v>
      </c>
      <c r="D6" s="2">
        <f t="shared" si="6"/>
        <v>61230.78787878788</v>
      </c>
      <c r="E6" s="2">
        <f t="shared" si="0"/>
        <v>13071.21212121212</v>
      </c>
      <c r="F6" s="2">
        <f>'Tennessee counties'!C48</f>
        <v>94187</v>
      </c>
      <c r="G6" s="2">
        <f t="shared" si="7"/>
        <v>66205.727272727279</v>
      </c>
      <c r="H6" s="2">
        <f t="shared" si="1"/>
        <v>27981.272727272721</v>
      </c>
      <c r="I6">
        <f>'Tennessee counties'!D48</f>
        <v>112926</v>
      </c>
      <c r="J6" s="2">
        <f t="shared" si="8"/>
        <v>70845</v>
      </c>
      <c r="K6" s="2">
        <f t="shared" si="2"/>
        <v>42081</v>
      </c>
      <c r="L6">
        <f>'Tennessee counties'!E48</f>
        <v>155902</v>
      </c>
      <c r="M6" s="2">
        <f t="shared" si="9"/>
        <v>79289.57575757576</v>
      </c>
      <c r="N6" s="2">
        <f t="shared" si="3"/>
        <v>76612.42424242424</v>
      </c>
      <c r="O6">
        <f>'Tennessee counties'!F48</f>
        <v>178468</v>
      </c>
      <c r="P6" s="2">
        <f t="shared" si="10"/>
        <v>88358.818181818177</v>
      </c>
      <c r="Q6" s="2">
        <f t="shared" si="4"/>
        <v>90109.181818181823</v>
      </c>
      <c r="R6">
        <f>'Tennessee counties'!G48</f>
        <v>223007</v>
      </c>
      <c r="S6" s="2">
        <f>$S$2</f>
        <v>99749.030303030304</v>
      </c>
      <c r="T6" s="2">
        <f t="shared" si="11"/>
        <v>123257.9696969697</v>
      </c>
      <c r="U6">
        <f>'Tennessee counties'!H48</f>
        <v>250523</v>
      </c>
      <c r="V6" s="2">
        <f t="shared" si="12"/>
        <v>108093.60606060606</v>
      </c>
      <c r="W6" s="2">
        <f t="shared" si="5"/>
        <v>142429.39393939392</v>
      </c>
    </row>
    <row r="7" spans="1:23" x14ac:dyDescent="0.25">
      <c r="A7">
        <v>6</v>
      </c>
      <c r="B7" t="s">
        <v>126</v>
      </c>
      <c r="C7" s="2">
        <f>'Tennessee counties'!B48+'Tennessee counties'!B54+'Tennessee counties'!B2+'Tennessee counties'!B74</f>
        <v>125512</v>
      </c>
      <c r="D7" s="2">
        <f t="shared" si="6"/>
        <v>61230.78787878788</v>
      </c>
      <c r="E7" s="2">
        <f t="shared" si="0"/>
        <v>64281.21212121212</v>
      </c>
      <c r="F7" s="2">
        <f>'Tennessee counties'!C48+'Tennessee counties'!C54+'Tennessee counties'!C2+'Tennessee counties'!C74</f>
        <v>148376</v>
      </c>
      <c r="G7" s="2">
        <f t="shared" si="7"/>
        <v>66205.727272727279</v>
      </c>
      <c r="H7" s="2">
        <f t="shared" si="1"/>
        <v>82170.272727272721</v>
      </c>
      <c r="I7">
        <f>'Tennessee counties'!D48+'Tennessee counties'!D54+'Tennessee counties'!D2+'Tennessee counties'!D74</f>
        <v>172123</v>
      </c>
      <c r="J7" s="2">
        <f t="shared" si="8"/>
        <v>70845</v>
      </c>
      <c r="K7" s="2">
        <f t="shared" si="2"/>
        <v>101278</v>
      </c>
      <c r="L7">
        <f>'Tennessee counties'!E48+'Tennessee counties'!E54+'Tennessee counties'!E2+'Tennessee counties'!E74</f>
        <v>217906</v>
      </c>
      <c r="M7" s="2">
        <f t="shared" si="9"/>
        <v>79289.57575757576</v>
      </c>
      <c r="N7" s="2">
        <f t="shared" si="3"/>
        <v>138616.42424242425</v>
      </c>
      <c r="O7">
        <f>'Tennessee counties'!F48+'Tennessee counties'!F54+'Tennessee counties'!F2+'Tennessee counties'!F74</f>
        <v>252605</v>
      </c>
      <c r="P7" s="2">
        <f t="shared" si="10"/>
        <v>88358.818181818177</v>
      </c>
      <c r="Q7" s="2">
        <f t="shared" si="4"/>
        <v>164246.18181818182</v>
      </c>
      <c r="R7">
        <f>'Tennessee counties'!G48+'Tennessee counties'!G54+'Tennessee counties'!G2+'Tennessee counties'!G74</f>
        <v>337261</v>
      </c>
      <c r="S7" s="2">
        <f>$S$2</f>
        <v>99749.030303030304</v>
      </c>
      <c r="T7" s="2">
        <f t="shared" si="11"/>
        <v>237511.9696969697</v>
      </c>
      <c r="U7">
        <f>'Tennessee counties'!H48+'Tennessee counties'!H54+'Tennessee counties'!H2+'Tennessee counties'!H74</f>
        <v>373445</v>
      </c>
      <c r="V7" s="2">
        <f t="shared" si="12"/>
        <v>108093.60606060606</v>
      </c>
      <c r="W7" s="2">
        <f t="shared" si="5"/>
        <v>265351.39393939392</v>
      </c>
    </row>
    <row r="8" spans="1:23" x14ac:dyDescent="0.25">
      <c r="A8">
        <v>7</v>
      </c>
      <c r="B8" t="s">
        <v>127</v>
      </c>
      <c r="C8" s="2">
        <f>'Tennessee counties'!B60+'Tennessee counties'!B7+'Tennessee counties'!B63+'Tennessee counties'!B71</f>
        <v>64464</v>
      </c>
      <c r="D8" s="2">
        <f t="shared" si="6"/>
        <v>61230.78787878788</v>
      </c>
      <c r="E8" s="2">
        <f t="shared" si="0"/>
        <v>3233.2121212121201</v>
      </c>
      <c r="F8" s="2">
        <f>'Tennessee counties'!C60+'Tennessee counties'!C7+'Tennessee counties'!C63+'Tennessee counties'!C71</f>
        <v>68040</v>
      </c>
      <c r="G8" s="2">
        <f t="shared" si="7"/>
        <v>66205.727272727279</v>
      </c>
      <c r="H8" s="2">
        <f t="shared" si="1"/>
        <v>1834.2727272727207</v>
      </c>
      <c r="I8">
        <f>'Tennessee counties'!D60+'Tennessee counties'!D7+'Tennessee counties'!D63+'Tennessee counties'!D71</f>
        <v>72330</v>
      </c>
      <c r="J8" s="2">
        <f t="shared" si="8"/>
        <v>70845</v>
      </c>
      <c r="K8" s="2">
        <f t="shared" si="2"/>
        <v>1485</v>
      </c>
      <c r="L8">
        <f>'Tennessee counties'!E60+'Tennessee counties'!E7+'Tennessee counties'!E63+'Tennessee counties'!E71</f>
        <v>75507</v>
      </c>
      <c r="M8" s="2">
        <f t="shared" si="9"/>
        <v>79289.57575757576</v>
      </c>
      <c r="N8" s="2">
        <f t="shared" si="3"/>
        <v>-3782.5757575757598</v>
      </c>
      <c r="O8">
        <f>'Tennessee counties'!F60+'Tennessee counties'!F7+'Tennessee counties'!F63+'Tennessee counties'!F71</f>
        <v>84276</v>
      </c>
      <c r="P8" s="2">
        <f t="shared" si="10"/>
        <v>88358.818181818177</v>
      </c>
      <c r="Q8" s="2">
        <f t="shared" si="4"/>
        <v>-4082.8181818181765</v>
      </c>
      <c r="R8">
        <f>'Tennessee counties'!G60+'Tennessee counties'!G7+'Tennessee counties'!G63+'Tennessee counties'!G71</f>
        <v>88693</v>
      </c>
      <c r="S8" s="2">
        <f>$S$2</f>
        <v>99749.030303030304</v>
      </c>
      <c r="T8" s="2">
        <f t="shared" si="11"/>
        <v>-11056.030303030304</v>
      </c>
      <c r="U8">
        <f>'Tennessee counties'!H60+'Tennessee counties'!H7+'Tennessee counties'!H63+'Tennessee counties'!H71</f>
        <v>90659</v>
      </c>
      <c r="V8" s="2">
        <f t="shared" si="12"/>
        <v>108093.60606060606</v>
      </c>
      <c r="W8" s="2">
        <f t="shared" si="5"/>
        <v>-17434.606060606064</v>
      </c>
    </row>
    <row r="9" spans="1:23" x14ac:dyDescent="0.25">
      <c r="A9">
        <v>8</v>
      </c>
      <c r="B9" t="s">
        <v>34</v>
      </c>
      <c r="C9" s="2">
        <f>'Tennessee counties'!B34</f>
        <v>67102</v>
      </c>
      <c r="D9" s="2">
        <f t="shared" si="6"/>
        <v>61230.78787878788</v>
      </c>
      <c r="E9" s="2">
        <f t="shared" si="0"/>
        <v>5871.2121212121201</v>
      </c>
      <c r="F9" s="2">
        <f>'Tennessee counties'!C34</f>
        <v>94477</v>
      </c>
      <c r="G9" s="2">
        <f t="shared" si="7"/>
        <v>66205.727272727279</v>
      </c>
      <c r="H9" s="2">
        <f t="shared" si="1"/>
        <v>28271.272727272721</v>
      </c>
      <c r="I9">
        <f>'Tennessee counties'!D34</f>
        <v>115954</v>
      </c>
      <c r="J9" s="2">
        <f t="shared" si="8"/>
        <v>70845</v>
      </c>
      <c r="K9" s="2">
        <f t="shared" si="2"/>
        <v>45109</v>
      </c>
      <c r="L9">
        <f>'Tennessee counties'!E34</f>
        <v>159497</v>
      </c>
      <c r="M9" s="2">
        <f t="shared" si="9"/>
        <v>79289.57575757576</v>
      </c>
      <c r="N9" s="2">
        <f t="shared" si="3"/>
        <v>80207.42424242424</v>
      </c>
      <c r="O9">
        <f>'Tennessee counties'!F34</f>
        <v>180478</v>
      </c>
      <c r="P9" s="2">
        <f t="shared" si="10"/>
        <v>88358.818181818177</v>
      </c>
      <c r="Q9" s="2">
        <f t="shared" si="4"/>
        <v>92119.181818181823</v>
      </c>
      <c r="R9">
        <f>'Tennessee counties'!G34</f>
        <v>208255</v>
      </c>
      <c r="S9" s="2">
        <f>$S$2</f>
        <v>99749.030303030304</v>
      </c>
      <c r="T9" s="2">
        <f t="shared" si="11"/>
        <v>108505.9696969697</v>
      </c>
      <c r="U9">
        <f>'Tennessee counties'!H34</f>
        <v>237905</v>
      </c>
      <c r="V9" s="2">
        <f t="shared" si="12"/>
        <v>108093.60606060606</v>
      </c>
      <c r="W9" s="2">
        <f t="shared" si="5"/>
        <v>129811.39393939394</v>
      </c>
    </row>
    <row r="10" spans="1:23" x14ac:dyDescent="0.25">
      <c r="A10">
        <v>9</v>
      </c>
      <c r="B10" t="s">
        <v>128</v>
      </c>
      <c r="C10" s="2">
        <f>'Tennessee counties'!B73+'Tennessee counties'!B62+'Tennessee counties'!B5+'Tennessee counties'!B78+'Tennessee counties'!B89+'Tennessee counties'!B94+'Tennessee counties'!B19</f>
        <v>57355</v>
      </c>
      <c r="D10" s="2">
        <f t="shared" si="6"/>
        <v>61230.78787878788</v>
      </c>
      <c r="E10" s="2">
        <f t="shared" si="0"/>
        <v>-3875.7878787878799</v>
      </c>
      <c r="F10" s="2">
        <f>'Tennessee counties'!C73+'Tennessee counties'!C62+'Tennessee counties'!C5+'Tennessee counties'!C78+'Tennessee counties'!C89+'Tennessee counties'!C94+'Tennessee counties'!C19</f>
        <v>59603</v>
      </c>
      <c r="G10" s="2">
        <f t="shared" si="7"/>
        <v>66205.727272727279</v>
      </c>
      <c r="H10" s="2">
        <f t="shared" si="1"/>
        <v>-6602.7272727272793</v>
      </c>
      <c r="I10">
        <f>'Tennessee counties'!D73+'Tennessee counties'!D62+'Tennessee counties'!D5+'Tennessee counties'!D78+'Tennessee counties'!D89+'Tennessee counties'!D94+'Tennessee counties'!D19</f>
        <v>59158</v>
      </c>
      <c r="J10" s="2">
        <f t="shared" si="8"/>
        <v>70845</v>
      </c>
      <c r="K10" s="2">
        <f t="shared" si="2"/>
        <v>-11687</v>
      </c>
      <c r="L10">
        <f>'Tennessee counties'!E73+'Tennessee counties'!E62+'Tennessee counties'!E5+'Tennessee counties'!E78+'Tennessee counties'!E89+'Tennessee counties'!E94+'Tennessee counties'!E19</f>
        <v>61672</v>
      </c>
      <c r="M10" s="2">
        <f t="shared" si="9"/>
        <v>79289.57575757576</v>
      </c>
      <c r="N10" s="2">
        <f t="shared" si="3"/>
        <v>-17617.57575757576</v>
      </c>
      <c r="O10">
        <f>'Tennessee counties'!F73+'Tennessee counties'!F62+'Tennessee counties'!F5+'Tennessee counties'!F78+'Tennessee counties'!F89+'Tennessee counties'!F94+'Tennessee counties'!F19</f>
        <v>71807</v>
      </c>
      <c r="P10" s="2">
        <f t="shared" si="10"/>
        <v>88358.818181818177</v>
      </c>
      <c r="Q10" s="2">
        <f t="shared" si="4"/>
        <v>-16551.818181818177</v>
      </c>
      <c r="R10">
        <f>'Tennessee counties'!G73+'Tennessee counties'!G62+'Tennessee counties'!G5+'Tennessee counties'!G78+'Tennessee counties'!G89+'Tennessee counties'!G94+'Tennessee counties'!G19</f>
        <v>75433</v>
      </c>
      <c r="S10" s="2">
        <f>$S$2</f>
        <v>99749.030303030304</v>
      </c>
      <c r="T10" s="2">
        <f t="shared" si="11"/>
        <v>-24316.030303030304</v>
      </c>
      <c r="U10">
        <f>'Tennessee counties'!H73+'Tennessee counties'!H62+'Tennessee counties'!H5+'Tennessee counties'!H78+'Tennessee counties'!H89+'Tennessee counties'!H94+'Tennessee counties'!H19</f>
        <v>73132</v>
      </c>
      <c r="V10" s="2">
        <f t="shared" si="12"/>
        <v>108093.60606060606</v>
      </c>
      <c r="W10" s="2">
        <f t="shared" si="5"/>
        <v>-34961.606060606064</v>
      </c>
    </row>
    <row r="11" spans="1:23" x14ac:dyDescent="0.25">
      <c r="A11">
        <v>10</v>
      </c>
      <c r="B11" t="s">
        <v>129</v>
      </c>
      <c r="C11" s="2">
        <f>'Tennessee counties'!B26+'Tennessee counties'!B70+'Tennessee counties'!B15+'Tennessee counties'!B68+'Tennessee counties'!B72+'Tennessee counties'!B45</f>
        <v>65175</v>
      </c>
      <c r="D11" s="2">
        <f t="shared" si="6"/>
        <v>61230.78787878788</v>
      </c>
      <c r="E11" s="2">
        <f t="shared" si="0"/>
        <v>3944.2121212121201</v>
      </c>
      <c r="F11" s="2">
        <f>'Tennessee counties'!C26+'Tennessee counties'!C70+'Tennessee counties'!C15+'Tennessee counties'!C68+'Tennessee counties'!C72+'Tennessee counties'!C45</f>
        <v>72455</v>
      </c>
      <c r="G11" s="2">
        <f t="shared" si="7"/>
        <v>66205.727272727279</v>
      </c>
      <c r="H11" s="2">
        <f t="shared" si="1"/>
        <v>6249.2727272727207</v>
      </c>
      <c r="I11">
        <f>'Tennessee counties'!D26+'Tennessee counties'!D70+'Tennessee counties'!D15+'Tennessee counties'!D68+'Tennessee counties'!D72+'Tennessee counties'!D45</f>
        <v>79636</v>
      </c>
      <c r="J11" s="2">
        <f t="shared" si="8"/>
        <v>70845</v>
      </c>
      <c r="K11" s="2">
        <f t="shared" si="2"/>
        <v>8791</v>
      </c>
      <c r="L11">
        <f>'Tennessee counties'!E26+'Tennessee counties'!E70+'Tennessee counties'!E15+'Tennessee counties'!E68+'Tennessee counties'!E72+'Tennessee counties'!E45</f>
        <v>81655</v>
      </c>
      <c r="M11" s="2">
        <f t="shared" si="9"/>
        <v>79289.57575757576</v>
      </c>
      <c r="N11" s="2">
        <f t="shared" si="3"/>
        <v>2365.4242424242402</v>
      </c>
      <c r="O11">
        <f>'Tennessee counties'!F26+'Tennessee counties'!F70+'Tennessee counties'!F15+'Tennessee counties'!F68+'Tennessee counties'!F72+'Tennessee counties'!F45</f>
        <v>91594</v>
      </c>
      <c r="P11" s="2">
        <f t="shared" si="10"/>
        <v>88358.818181818177</v>
      </c>
      <c r="Q11" s="2">
        <f t="shared" si="4"/>
        <v>3235.1818181818235</v>
      </c>
      <c r="R11">
        <f>'Tennessee counties'!G26+'Tennessee counties'!G70+'Tennessee counties'!G15+'Tennessee counties'!G68+'Tennessee counties'!G72+'Tennessee counties'!G45</f>
        <v>88494</v>
      </c>
      <c r="S11" s="2">
        <f>$S$2</f>
        <v>99749.030303030304</v>
      </c>
      <c r="T11" s="2">
        <f t="shared" si="11"/>
        <v>-11255.030303030304</v>
      </c>
      <c r="U11">
        <f>'Tennessee counties'!H26+'Tennessee counties'!H70+'Tennessee counties'!H15+'Tennessee counties'!H68+'Tennessee counties'!H72+'Tennessee counties'!H45</f>
        <v>78138</v>
      </c>
      <c r="V11" s="2">
        <f t="shared" si="12"/>
        <v>108093.60606060606</v>
      </c>
      <c r="W11" s="2">
        <f t="shared" si="5"/>
        <v>-29955.606060606064</v>
      </c>
    </row>
    <row r="12" spans="1:23" x14ac:dyDescent="0.25">
      <c r="A12">
        <v>11</v>
      </c>
      <c r="B12" t="s">
        <v>130</v>
      </c>
      <c r="C12" s="2">
        <f>'Tennessee counties'!B57+'Tennessee counties'!B27+'Tennessee counties'!B32+'Tennessee counties'!B90</f>
        <v>57485</v>
      </c>
      <c r="D12" s="2">
        <f t="shared" si="6"/>
        <v>61230.78787878788</v>
      </c>
      <c r="E12" s="2">
        <f t="shared" si="0"/>
        <v>-3745.7878787878799</v>
      </c>
      <c r="F12" s="2">
        <f>'Tennessee counties'!C57+'Tennessee counties'!C27+'Tennessee counties'!C32+'Tennessee counties'!C90</f>
        <v>59906</v>
      </c>
      <c r="G12" s="2">
        <f t="shared" si="7"/>
        <v>66205.727272727279</v>
      </c>
      <c r="H12" s="2">
        <f t="shared" si="1"/>
        <v>-6299.7272727272793</v>
      </c>
      <c r="I12">
        <f>'Tennessee counties'!D57+'Tennessee counties'!D27+'Tennessee counties'!D32+'Tennessee counties'!D90</f>
        <v>62622</v>
      </c>
      <c r="J12" s="2">
        <f t="shared" si="8"/>
        <v>70845</v>
      </c>
      <c r="K12" s="2">
        <f t="shared" si="2"/>
        <v>-8223</v>
      </c>
      <c r="L12">
        <f>'Tennessee counties'!E57+'Tennessee counties'!E27+'Tennessee counties'!E32+'Tennessee counties'!E90</f>
        <v>65594</v>
      </c>
      <c r="M12" s="2">
        <f t="shared" si="9"/>
        <v>79289.57575757576</v>
      </c>
      <c r="N12" s="2">
        <f t="shared" si="3"/>
        <v>-13695.57575757576</v>
      </c>
      <c r="O12">
        <f>'Tennessee counties'!F57+'Tennessee counties'!F27+'Tennessee counties'!F32+'Tennessee counties'!F90</f>
        <v>70112</v>
      </c>
      <c r="P12" s="2">
        <f t="shared" si="10"/>
        <v>88358.818181818177</v>
      </c>
      <c r="Q12" s="2">
        <f t="shared" si="4"/>
        <v>-18246.818181818177</v>
      </c>
      <c r="R12">
        <f>'Tennessee counties'!G57+'Tennessee counties'!G27+'Tennessee counties'!G32+'Tennessee counties'!G90</f>
        <v>73859</v>
      </c>
      <c r="S12" s="2">
        <f>$S$2</f>
        <v>99749.030303030304</v>
      </c>
      <c r="T12" s="2">
        <f t="shared" si="11"/>
        <v>-25890.030303030304</v>
      </c>
      <c r="U12">
        <f>'Tennessee counties'!H57+'Tennessee counties'!H27+'Tennessee counties'!H32+'Tennessee counties'!H90</f>
        <v>72339</v>
      </c>
      <c r="V12" s="2">
        <f t="shared" si="12"/>
        <v>108093.60606060606</v>
      </c>
      <c r="W12" s="2">
        <f t="shared" si="5"/>
        <v>-35754.606060606064</v>
      </c>
    </row>
    <row r="13" spans="1:23" x14ac:dyDescent="0.25">
      <c r="A13">
        <v>12</v>
      </c>
      <c r="B13" t="s">
        <v>132</v>
      </c>
      <c r="C13" s="2">
        <f>'Tennessee counties'!B76+'Tennessee counties'!B9+'Tennessee counties'!B22</f>
        <v>62124</v>
      </c>
      <c r="D13" s="2">
        <f t="shared" si="6"/>
        <v>61230.78787878788</v>
      </c>
      <c r="E13" s="2">
        <f t="shared" si="0"/>
        <v>893.21212121212011</v>
      </c>
      <c r="F13" s="2">
        <f>'Tennessee counties'!C76+'Tennessee counties'!C9+'Tennessee counties'!C22</f>
        <v>59458</v>
      </c>
      <c r="G13" s="2">
        <f t="shared" si="7"/>
        <v>66205.727272727279</v>
      </c>
      <c r="H13" s="2">
        <f t="shared" si="1"/>
        <v>-6747.7272727272793</v>
      </c>
      <c r="I13">
        <f>'Tennessee counties'!D76+'Tennessee counties'!D9+'Tennessee counties'!D22</f>
        <v>58670</v>
      </c>
      <c r="J13" s="2">
        <f t="shared" si="8"/>
        <v>70845</v>
      </c>
      <c r="K13" s="2">
        <f t="shared" si="2"/>
        <v>-12175</v>
      </c>
      <c r="L13">
        <f>'Tennessee counties'!E76+'Tennessee counties'!E9+'Tennessee counties'!E22</f>
        <v>55434</v>
      </c>
      <c r="M13" s="2">
        <f t="shared" si="9"/>
        <v>79289.57575757576</v>
      </c>
      <c r="N13" s="2">
        <f t="shared" si="3"/>
        <v>-23855.57575757576</v>
      </c>
      <c r="O13">
        <f>'Tennessee counties'!F76+'Tennessee counties'!F9+'Tennessee counties'!F22</f>
        <v>58072</v>
      </c>
      <c r="P13" s="2">
        <f t="shared" si="10"/>
        <v>88358.818181818177</v>
      </c>
      <c r="Q13" s="2">
        <f t="shared" si="4"/>
        <v>-30286.818181818177</v>
      </c>
      <c r="R13">
        <f>'Tennessee counties'!G76+'Tennessee counties'!G9+'Tennessee counties'!G22</f>
        <v>61550</v>
      </c>
      <c r="S13" s="2">
        <f>$S$2</f>
        <v>99749.030303030304</v>
      </c>
      <c r="T13" s="2">
        <f t="shared" si="11"/>
        <v>-38199.030303030304</v>
      </c>
      <c r="U13">
        <f>'Tennessee counties'!H76+'Tennessee counties'!H9+'Tennessee counties'!H22</f>
        <v>71679</v>
      </c>
      <c r="V13" s="2">
        <f t="shared" si="12"/>
        <v>108093.60606060606</v>
      </c>
      <c r="W13" s="2">
        <f t="shared" si="5"/>
        <v>-36414.606060606064</v>
      </c>
    </row>
    <row r="14" spans="1:23" x14ac:dyDescent="0.25">
      <c r="A14">
        <v>13</v>
      </c>
      <c r="B14" t="s">
        <v>131</v>
      </c>
      <c r="C14" s="2">
        <f>'Tennessee counties'!B96+'Tennessee counties'!B81</f>
        <v>46104</v>
      </c>
      <c r="D14" s="2">
        <f t="shared" si="6"/>
        <v>61230.78787878788</v>
      </c>
      <c r="E14" s="2">
        <f t="shared" si="0"/>
        <v>-15126.78787878788</v>
      </c>
      <c r="F14" s="2">
        <f>'Tennessee counties'!C96+'Tennessee counties'!C81</f>
        <v>43942</v>
      </c>
      <c r="G14" s="2">
        <f t="shared" si="7"/>
        <v>66205.727272727279</v>
      </c>
      <c r="H14" s="2">
        <f t="shared" si="1"/>
        <v>-22263.727272727279</v>
      </c>
      <c r="I14">
        <f>'Tennessee counties'!D96+'Tennessee counties'!D81</f>
        <v>43375</v>
      </c>
      <c r="J14" s="2">
        <f t="shared" si="8"/>
        <v>70845</v>
      </c>
      <c r="K14" s="2">
        <f t="shared" si="2"/>
        <v>-27470</v>
      </c>
      <c r="L14">
        <f>'Tennessee counties'!E96+'Tennessee counties'!E81</f>
        <v>39402</v>
      </c>
      <c r="M14" s="2">
        <f t="shared" si="9"/>
        <v>79289.57575757576</v>
      </c>
      <c r="N14" s="2">
        <f t="shared" si="3"/>
        <v>-39887.57575757576</v>
      </c>
      <c r="O14">
        <f>'Tennessee counties'!F96+'Tennessee counties'!F81</f>
        <v>41415</v>
      </c>
      <c r="P14" s="2">
        <f t="shared" si="10"/>
        <v>88358.818181818177</v>
      </c>
      <c r="Q14" s="2">
        <f t="shared" si="4"/>
        <v>-46943.818181818177</v>
      </c>
      <c r="R14">
        <f>'Tennessee counties'!G96+'Tennessee counties'!G81</f>
        <v>40416</v>
      </c>
      <c r="S14" s="2">
        <f>$S$2</f>
        <v>99749.030303030304</v>
      </c>
      <c r="T14" s="2">
        <f t="shared" si="11"/>
        <v>-59333.030303030304</v>
      </c>
      <c r="U14">
        <f>'Tennessee counties'!H96+'Tennessee counties'!H81</f>
        <v>39727</v>
      </c>
      <c r="V14" s="2">
        <f t="shared" si="12"/>
        <v>108093.60606060606</v>
      </c>
      <c r="W14" s="2">
        <f t="shared" si="5"/>
        <v>-68366.606060606064</v>
      </c>
    </row>
    <row r="15" spans="1:23" x14ac:dyDescent="0.25">
      <c r="A15">
        <v>14</v>
      </c>
      <c r="B15" t="s">
        <v>110</v>
      </c>
      <c r="C15" s="2">
        <f>'Tennessee counties'!B84+'Tennessee counties'!B86+'Tennessee counties'!B55</f>
        <v>51239</v>
      </c>
      <c r="D15" s="2">
        <f t="shared" si="6"/>
        <v>61230.78787878788</v>
      </c>
      <c r="E15" s="2">
        <f t="shared" si="0"/>
        <v>-9991.7878787878799</v>
      </c>
      <c r="F15" s="2">
        <f>'Tennessee counties'!C84+'Tennessee counties'!C86+'Tennessee counties'!C55</f>
        <v>52541</v>
      </c>
      <c r="G15" s="2">
        <f t="shared" si="7"/>
        <v>66205.727272727279</v>
      </c>
      <c r="H15" s="2">
        <f t="shared" si="1"/>
        <v>-13664.727272727279</v>
      </c>
      <c r="I15">
        <f>'Tennessee counties'!D84+'Tennessee counties'!D86+'Tennessee counties'!D55</f>
        <v>58837</v>
      </c>
      <c r="J15" s="2">
        <f t="shared" si="8"/>
        <v>70845</v>
      </c>
      <c r="K15" s="2">
        <f t="shared" si="2"/>
        <v>-12008</v>
      </c>
      <c r="L15">
        <f>'Tennessee counties'!E84+'Tennessee counties'!E86+'Tennessee counties'!E55</f>
        <v>63270</v>
      </c>
      <c r="M15" s="2">
        <f t="shared" si="9"/>
        <v>79289.57575757576</v>
      </c>
      <c r="N15" s="2">
        <f t="shared" si="3"/>
        <v>-16019.57575757576</v>
      </c>
      <c r="O15">
        <f>'Tennessee counties'!F84+'Tennessee counties'!F86+'Tennessee counties'!F55</f>
        <v>69613</v>
      </c>
      <c r="P15" s="2">
        <f t="shared" si="10"/>
        <v>88358.818181818177</v>
      </c>
      <c r="Q15" s="2">
        <f t="shared" si="4"/>
        <v>-18745.818181818177</v>
      </c>
      <c r="R15">
        <f>'Tennessee counties'!G84+'Tennessee counties'!G86+'Tennessee counties'!G55</f>
        <v>71077</v>
      </c>
      <c r="S15" s="2">
        <f>$S$2</f>
        <v>99749.030303030304</v>
      </c>
      <c r="T15" s="2">
        <f t="shared" si="11"/>
        <v>-28672.030303030304</v>
      </c>
      <c r="U15">
        <f>'Tennessee counties'!H84+'Tennessee counties'!H86+'Tennessee counties'!H55</f>
        <v>74793</v>
      </c>
      <c r="V15" s="2">
        <f t="shared" si="12"/>
        <v>108093.60606060606</v>
      </c>
      <c r="W15" s="2">
        <f t="shared" si="5"/>
        <v>-33300.606060606064</v>
      </c>
    </row>
    <row r="16" spans="1:23" x14ac:dyDescent="0.25">
      <c r="A16">
        <v>15</v>
      </c>
      <c r="B16" t="s">
        <v>133</v>
      </c>
      <c r="C16" s="2">
        <f>'Tennessee counties'!B64+'Tennessee counties'!B75</f>
        <v>61046</v>
      </c>
      <c r="D16" s="2">
        <f t="shared" si="6"/>
        <v>61230.78787878788</v>
      </c>
      <c r="E16" s="2">
        <f t="shared" si="0"/>
        <v>-184.78787878787989</v>
      </c>
      <c r="F16" s="2">
        <f>'Tennessee counties'!C64+'Tennessee counties'!C75</f>
        <v>59138</v>
      </c>
      <c r="G16" s="2">
        <f t="shared" si="7"/>
        <v>66205.727272727279</v>
      </c>
      <c r="H16" s="2">
        <f t="shared" si="1"/>
        <v>-7067.7272727272793</v>
      </c>
      <c r="I16">
        <f>'Tennessee counties'!D64+'Tennessee counties'!D75</f>
        <v>57886</v>
      </c>
      <c r="J16" s="2">
        <f t="shared" si="8"/>
        <v>70845</v>
      </c>
      <c r="K16" s="2">
        <f t="shared" si="2"/>
        <v>-12959</v>
      </c>
      <c r="L16">
        <f>'Tennessee counties'!E64+'Tennessee counties'!E75</f>
        <v>59073</v>
      </c>
      <c r="M16" s="2">
        <f t="shared" si="9"/>
        <v>79289.57575757576</v>
      </c>
      <c r="N16" s="2">
        <f t="shared" si="3"/>
        <v>-20216.57575757576</v>
      </c>
      <c r="O16">
        <f>'Tennessee counties'!F64+'Tennessee counties'!F75</f>
        <v>62392</v>
      </c>
      <c r="P16" s="2">
        <f t="shared" si="10"/>
        <v>88358.818181818177</v>
      </c>
      <c r="Q16" s="2">
        <f t="shared" si="4"/>
        <v>-25966.818181818177</v>
      </c>
      <c r="R16">
        <f>'Tennessee counties'!G64+'Tennessee counties'!G75</f>
        <v>71210</v>
      </c>
      <c r="S16" s="2">
        <f>$S$2</f>
        <v>99749.030303030304</v>
      </c>
      <c r="T16" s="2">
        <f t="shared" si="11"/>
        <v>-28539.030303030304</v>
      </c>
      <c r="U16">
        <f>'Tennessee counties'!H64+'Tennessee counties'!H75</f>
        <v>82980</v>
      </c>
      <c r="V16" s="2">
        <f t="shared" si="12"/>
        <v>108093.60606060606</v>
      </c>
      <c r="W16" s="2">
        <f t="shared" si="5"/>
        <v>-25113.606060606064</v>
      </c>
    </row>
    <row r="17" spans="1:23" x14ac:dyDescent="0.25">
      <c r="A17">
        <v>16</v>
      </c>
      <c r="B17" t="s">
        <v>20</v>
      </c>
      <c r="C17" s="2">
        <f>'Tennessee counties'!B20</f>
        <v>122815</v>
      </c>
      <c r="D17" s="2">
        <f t="shared" si="6"/>
        <v>61230.78787878788</v>
      </c>
      <c r="E17" s="2">
        <f t="shared" si="0"/>
        <v>61584.21212121212</v>
      </c>
      <c r="F17" s="2">
        <f>'Tennessee counties'!C20</f>
        <v>149478</v>
      </c>
      <c r="G17" s="2">
        <f t="shared" si="7"/>
        <v>66205.727272727279</v>
      </c>
      <c r="H17" s="2">
        <f t="shared" si="1"/>
        <v>83272.272727272721</v>
      </c>
      <c r="I17">
        <f>'Tennessee counties'!D20</f>
        <v>167815</v>
      </c>
      <c r="J17" s="2">
        <f t="shared" si="8"/>
        <v>70845</v>
      </c>
      <c r="K17" s="2">
        <f t="shared" si="2"/>
        <v>96970</v>
      </c>
      <c r="L17">
        <f>'Tennessee counties'!E20</f>
        <v>222854</v>
      </c>
      <c r="M17" s="2">
        <f t="shared" si="9"/>
        <v>79289.57575757576</v>
      </c>
      <c r="N17" s="2">
        <f t="shared" si="3"/>
        <v>143564.42424242425</v>
      </c>
      <c r="O17">
        <f>'Tennessee counties'!F20</f>
        <v>257267</v>
      </c>
      <c r="P17" s="2">
        <f t="shared" si="10"/>
        <v>88358.818181818177</v>
      </c>
      <c r="Q17" s="2">
        <f t="shared" si="4"/>
        <v>168908.18181818182</v>
      </c>
      <c r="R17">
        <f>'Tennessee counties'!G20</f>
        <v>321758</v>
      </c>
      <c r="S17" s="2">
        <f>$S$2</f>
        <v>99749.030303030304</v>
      </c>
      <c r="T17" s="2">
        <f t="shared" si="11"/>
        <v>222008.9696969697</v>
      </c>
      <c r="U17">
        <f>'Tennessee counties'!H20</f>
        <v>399743</v>
      </c>
      <c r="V17" s="2">
        <f t="shared" si="12"/>
        <v>108093.60606060606</v>
      </c>
      <c r="W17" s="2">
        <f t="shared" si="5"/>
        <v>291649.39393939392</v>
      </c>
    </row>
    <row r="18" spans="1:23" x14ac:dyDescent="0.25">
      <c r="A18">
        <v>17</v>
      </c>
      <c r="B18" t="s">
        <v>20</v>
      </c>
      <c r="C18" s="2">
        <f>'Tennessee counties'!B20</f>
        <v>122815</v>
      </c>
      <c r="D18" s="2">
        <f t="shared" si="6"/>
        <v>61230.78787878788</v>
      </c>
      <c r="E18" s="2">
        <f t="shared" si="0"/>
        <v>61584.21212121212</v>
      </c>
      <c r="F18" s="2">
        <f>'Tennessee counties'!C20</f>
        <v>149478</v>
      </c>
      <c r="G18" s="2">
        <f t="shared" si="7"/>
        <v>66205.727272727279</v>
      </c>
      <c r="H18" s="2">
        <f t="shared" si="1"/>
        <v>83272.272727272721</v>
      </c>
      <c r="I18">
        <f>'Tennessee counties'!D20</f>
        <v>167815</v>
      </c>
      <c r="J18" s="2">
        <f t="shared" si="8"/>
        <v>70845</v>
      </c>
      <c r="K18" s="2">
        <f t="shared" si="2"/>
        <v>96970</v>
      </c>
      <c r="L18">
        <f>'Tennessee counties'!E20</f>
        <v>222854</v>
      </c>
      <c r="M18" s="2">
        <f t="shared" si="9"/>
        <v>79289.57575757576</v>
      </c>
      <c r="N18" s="2">
        <f t="shared" si="3"/>
        <v>143564.42424242425</v>
      </c>
      <c r="O18">
        <f>'Tennessee counties'!F20</f>
        <v>257267</v>
      </c>
      <c r="P18" s="2">
        <f t="shared" si="10"/>
        <v>88358.818181818177</v>
      </c>
      <c r="Q18" s="2">
        <f t="shared" si="4"/>
        <v>168908.18181818182</v>
      </c>
      <c r="R18">
        <f>'Tennessee counties'!G20</f>
        <v>321758</v>
      </c>
      <c r="S18" s="2">
        <f>$S$2</f>
        <v>99749.030303030304</v>
      </c>
      <c r="T18" s="2">
        <f t="shared" si="11"/>
        <v>222008.9696969697</v>
      </c>
      <c r="U18">
        <f>'Tennessee counties'!H20</f>
        <v>399743</v>
      </c>
      <c r="V18" s="2">
        <f t="shared" si="12"/>
        <v>108093.60606060606</v>
      </c>
      <c r="W18" s="2">
        <f t="shared" si="5"/>
        <v>291649.39393939392</v>
      </c>
    </row>
    <row r="19" spans="1:23" x14ac:dyDescent="0.25">
      <c r="A19">
        <v>18</v>
      </c>
      <c r="B19" t="s">
        <v>134</v>
      </c>
      <c r="C19" s="2">
        <f>'Tennessee counties'!B3+'Tennessee counties'!B17+'Tennessee counties'!B65</f>
        <v>45125</v>
      </c>
      <c r="D19" s="2">
        <f t="shared" si="6"/>
        <v>61230.78787878788</v>
      </c>
      <c r="E19" s="2">
        <f t="shared" si="0"/>
        <v>-16105.78787878788</v>
      </c>
      <c r="F19" s="2">
        <f>'Tennessee counties'!C3+'Tennessee counties'!C17+'Tennessee counties'!C65</f>
        <v>43092</v>
      </c>
      <c r="G19" s="2">
        <f t="shared" si="7"/>
        <v>66205.727272727279</v>
      </c>
      <c r="H19" s="2">
        <f t="shared" si="1"/>
        <v>-23113.727272727279</v>
      </c>
      <c r="I19">
        <f>'Tennessee counties'!D3+'Tennessee counties'!D17+'Tennessee counties'!D65</f>
        <v>43572</v>
      </c>
      <c r="J19" s="2">
        <f t="shared" si="8"/>
        <v>70845</v>
      </c>
      <c r="K19" s="2">
        <f t="shared" si="2"/>
        <v>-27273</v>
      </c>
      <c r="L19">
        <f>'Tennessee counties'!E3+'Tennessee counties'!E17+'Tennessee counties'!E65</f>
        <v>41915</v>
      </c>
      <c r="M19" s="2">
        <f t="shared" si="9"/>
        <v>79289.57575757576</v>
      </c>
      <c r="N19" s="2">
        <f t="shared" si="3"/>
        <v>-37374.57575757576</v>
      </c>
      <c r="O19">
        <f>'Tennessee counties'!F3+'Tennessee counties'!F17+'Tennessee counties'!F65</f>
        <v>46203</v>
      </c>
      <c r="P19" s="2">
        <f t="shared" si="10"/>
        <v>88358.818181818177</v>
      </c>
      <c r="Q19" s="2">
        <f t="shared" si="4"/>
        <v>-42155.818181818177</v>
      </c>
      <c r="R19">
        <f>'Tennessee counties'!G3+'Tennessee counties'!G17+'Tennessee counties'!G65</f>
        <v>50624</v>
      </c>
      <c r="S19" s="2">
        <f>$S$2</f>
        <v>99749.030303030304</v>
      </c>
      <c r="T19" s="2">
        <f t="shared" si="11"/>
        <v>-49125.030303030304</v>
      </c>
      <c r="U19">
        <f>'Tennessee counties'!H3+'Tennessee counties'!H17+'Tennessee counties'!H65</f>
        <v>55207</v>
      </c>
      <c r="V19" s="2">
        <f t="shared" si="12"/>
        <v>108093.60606060606</v>
      </c>
      <c r="W19" s="2">
        <f t="shared" si="5"/>
        <v>-52886.606060606064</v>
      </c>
    </row>
    <row r="20" spans="1:23" x14ac:dyDescent="0.25">
      <c r="A20">
        <v>19</v>
      </c>
      <c r="B20" t="s">
        <v>135</v>
      </c>
      <c r="C20" s="2">
        <f>'Tennessee counties'!B53+'Tennessee counties'!B58</f>
        <v>62637</v>
      </c>
      <c r="D20" s="2">
        <f t="shared" si="6"/>
        <v>61230.78787878788</v>
      </c>
      <c r="E20" s="2">
        <f t="shared" si="0"/>
        <v>1406.2121212121201</v>
      </c>
      <c r="F20" s="2">
        <f>'Tennessee counties'!C53+'Tennessee counties'!C58</f>
        <v>65265</v>
      </c>
      <c r="G20" s="2">
        <f t="shared" si="7"/>
        <v>66205.727272727279</v>
      </c>
      <c r="H20" s="2">
        <f t="shared" si="1"/>
        <v>-940.72727272727934</v>
      </c>
      <c r="I20">
        <f>'Tennessee counties'!D53+'Tennessee counties'!D58</f>
        <v>69610</v>
      </c>
      <c r="J20" s="2">
        <f t="shared" si="8"/>
        <v>70845</v>
      </c>
      <c r="K20" s="2">
        <f t="shared" si="2"/>
        <v>-1235</v>
      </c>
      <c r="L20">
        <f>'Tennessee counties'!E53+'Tennessee counties'!E58</f>
        <v>76481</v>
      </c>
      <c r="M20" s="2">
        <f t="shared" si="9"/>
        <v>79289.57575757576</v>
      </c>
      <c r="N20" s="2">
        <f t="shared" si="3"/>
        <v>-2808.5757575757598</v>
      </c>
      <c r="O20">
        <f>'Tennessee counties'!F53+'Tennessee counties'!F58</f>
        <v>81329</v>
      </c>
      <c r="P20" s="2">
        <f t="shared" si="10"/>
        <v>88358.818181818177</v>
      </c>
      <c r="Q20" s="2">
        <f t="shared" si="4"/>
        <v>-7029.8181818181765</v>
      </c>
      <c r="R20">
        <f>'Tennessee counties'!G53+'Tennessee counties'!G58</f>
        <v>85752</v>
      </c>
      <c r="S20" s="2">
        <f>$S$2</f>
        <v>99749.030303030304</v>
      </c>
      <c r="T20" s="2">
        <f t="shared" si="11"/>
        <v>-13997.030303030304</v>
      </c>
      <c r="U20">
        <f>'Tennessee counties'!H53+'Tennessee counties'!H58</f>
        <v>84484</v>
      </c>
      <c r="V20" s="2">
        <f t="shared" si="12"/>
        <v>108093.60606060606</v>
      </c>
      <c r="W20" s="2">
        <f t="shared" si="5"/>
        <v>-23609.606060606064</v>
      </c>
    </row>
    <row r="21" spans="1:23" x14ac:dyDescent="0.25">
      <c r="A21">
        <v>20</v>
      </c>
      <c r="B21" t="s">
        <v>136</v>
      </c>
      <c r="C21" s="2">
        <f>'Tennessee counties'!B59+'Tennessee counties'!B69+'Tennessee counties'!B52</f>
        <v>30536</v>
      </c>
      <c r="D21" s="2">
        <f t="shared" si="6"/>
        <v>61230.78787878788</v>
      </c>
      <c r="E21" s="2">
        <f t="shared" si="0"/>
        <v>-30694.78787878788</v>
      </c>
      <c r="F21" s="2">
        <f>'Tennessee counties'!C59+'Tennessee counties'!C69+'Tennessee counties'!C52</f>
        <v>33668</v>
      </c>
      <c r="G21" s="2">
        <f t="shared" si="7"/>
        <v>66205.727272727279</v>
      </c>
      <c r="H21" s="2">
        <f t="shared" si="1"/>
        <v>-32537.727272727279</v>
      </c>
      <c r="I21">
        <f>'Tennessee counties'!D59+'Tennessee counties'!D69+'Tennessee counties'!D52</f>
        <v>30874</v>
      </c>
      <c r="J21" s="2">
        <f t="shared" si="8"/>
        <v>70845</v>
      </c>
      <c r="K21" s="2">
        <f t="shared" si="2"/>
        <v>-39971</v>
      </c>
      <c r="L21">
        <f>'Tennessee counties'!E59+'Tennessee counties'!E69+'Tennessee counties'!E52</f>
        <v>29954</v>
      </c>
      <c r="M21" s="2">
        <f t="shared" si="9"/>
        <v>79289.57575757576</v>
      </c>
      <c r="N21" s="2">
        <f t="shared" si="3"/>
        <v>-49335.57575757576</v>
      </c>
      <c r="O21">
        <f>'Tennessee counties'!F59+'Tennessee counties'!F69+'Tennessee counties'!F52</f>
        <v>32524</v>
      </c>
      <c r="P21" s="2">
        <f t="shared" si="10"/>
        <v>88358.818181818177</v>
      </c>
      <c r="Q21" s="2">
        <f t="shared" si="4"/>
        <v>-55834.818181818177</v>
      </c>
      <c r="R21">
        <f>'Tennessee counties'!G59+'Tennessee counties'!G69+'Tennessee counties'!G52</f>
        <v>33060</v>
      </c>
      <c r="S21" s="2">
        <f>$S$2</f>
        <v>99749.030303030304</v>
      </c>
      <c r="T21" s="2">
        <f t="shared" si="11"/>
        <v>-66689.030303030304</v>
      </c>
      <c r="U21">
        <f>'Tennessee counties'!H59+'Tennessee counties'!H69+'Tennessee counties'!H52</f>
        <v>32578</v>
      </c>
      <c r="V21" s="2">
        <f t="shared" si="12"/>
        <v>108093.60606060606</v>
      </c>
      <c r="W21" s="2">
        <f t="shared" si="5"/>
        <v>-75515.606060606064</v>
      </c>
    </row>
    <row r="22" spans="1:23" x14ac:dyDescent="0.25">
      <c r="A22">
        <v>21</v>
      </c>
      <c r="B22" t="s">
        <v>137</v>
      </c>
      <c r="C22" s="2">
        <f>'Tennessee counties'!B42+'Tennessee counties'!B95+'Tennessee counties'!B12</f>
        <v>52908</v>
      </c>
      <c r="D22" s="2">
        <f t="shared" si="6"/>
        <v>61230.78787878788</v>
      </c>
      <c r="E22" s="2">
        <f t="shared" si="0"/>
        <v>-8322.7878787878799</v>
      </c>
      <c r="F22" s="2">
        <f>'Tennessee counties'!C42+'Tennessee counties'!C95+'Tennessee counties'!C12</f>
        <v>51280</v>
      </c>
      <c r="G22" s="2">
        <f t="shared" si="7"/>
        <v>66205.727272727279</v>
      </c>
      <c r="H22" s="2">
        <f t="shared" si="1"/>
        <v>-14925.727272727279</v>
      </c>
      <c r="I22">
        <f>'Tennessee counties'!D42+'Tennessee counties'!D95+'Tennessee counties'!D12</f>
        <v>49664</v>
      </c>
      <c r="J22" s="2">
        <f t="shared" si="8"/>
        <v>70845</v>
      </c>
      <c r="K22" s="2">
        <f t="shared" si="2"/>
        <v>-21181</v>
      </c>
      <c r="L22">
        <f>'Tennessee counties'!E42+'Tennessee counties'!E95+'Tennessee counties'!E12</f>
        <v>45483</v>
      </c>
      <c r="M22" s="2">
        <f t="shared" si="9"/>
        <v>79289.57575757576</v>
      </c>
      <c r="N22" s="2">
        <f t="shared" si="3"/>
        <v>-33806.57575757576</v>
      </c>
      <c r="O22">
        <f>'Tennessee counties'!F42+'Tennessee counties'!F95+'Tennessee counties'!F12</f>
        <v>50021</v>
      </c>
      <c r="P22" s="2">
        <f t="shared" si="10"/>
        <v>88358.818181818177</v>
      </c>
      <c r="Q22" s="2">
        <f t="shared" si="4"/>
        <v>-38337.818181818177</v>
      </c>
      <c r="R22">
        <f>'Tennessee counties'!G42+'Tennessee counties'!G95+'Tennessee counties'!G12</f>
        <v>46827</v>
      </c>
      <c r="S22" s="2">
        <f>$S$2</f>
        <v>99749.030303030304</v>
      </c>
      <c r="T22" s="2">
        <f t="shared" si="11"/>
        <v>-52922.030303030304</v>
      </c>
      <c r="U22">
        <f>'Tennessee counties'!H42+'Tennessee counties'!H95+'Tennessee counties'!H12</f>
        <v>46557</v>
      </c>
      <c r="V22" s="2">
        <f t="shared" si="12"/>
        <v>108093.60606060606</v>
      </c>
      <c r="W22" s="2">
        <f t="shared" si="5"/>
        <v>-61536.606060606064</v>
      </c>
    </row>
    <row r="23" spans="1:23" x14ac:dyDescent="0.25">
      <c r="A23">
        <v>22</v>
      </c>
      <c r="B23" t="s">
        <v>138</v>
      </c>
      <c r="C23" s="2">
        <f>'Tennessee counties'!B29+'Tennessee counties'!B51+'Tennessee counties'!B92</f>
        <v>61373</v>
      </c>
      <c r="D23" s="2">
        <f t="shared" si="6"/>
        <v>61230.78787878788</v>
      </c>
      <c r="E23" s="2">
        <f t="shared" si="0"/>
        <v>142.21212121212011</v>
      </c>
      <c r="F23" s="2">
        <f>'Tennessee counties'!C29+'Tennessee counties'!C51+'Tennessee counties'!C92</f>
        <v>62260</v>
      </c>
      <c r="G23" s="2">
        <f t="shared" si="7"/>
        <v>66205.727272727279</v>
      </c>
      <c r="H23" s="2">
        <f t="shared" si="1"/>
        <v>-3945.7272727272793</v>
      </c>
      <c r="I23">
        <f>'Tennessee counties'!D29+'Tennessee counties'!D51+'Tennessee counties'!D92</f>
        <v>67418</v>
      </c>
      <c r="J23" s="2">
        <f t="shared" si="8"/>
        <v>70845</v>
      </c>
      <c r="K23" s="2">
        <f t="shared" si="2"/>
        <v>-3427</v>
      </c>
      <c r="L23">
        <f>'Tennessee counties'!E29+'Tennessee counties'!E51+'Tennessee counties'!E92</f>
        <v>66926</v>
      </c>
      <c r="M23" s="2">
        <f t="shared" si="9"/>
        <v>79289.57575757576</v>
      </c>
      <c r="N23" s="2">
        <f t="shared" si="3"/>
        <v>-12363.57575757576</v>
      </c>
      <c r="O23">
        <f>'Tennessee counties'!F29+'Tennessee counties'!F51+'Tennessee counties'!F92</f>
        <v>71604</v>
      </c>
      <c r="P23" s="2">
        <f t="shared" si="10"/>
        <v>88358.818181818177</v>
      </c>
      <c r="Q23" s="2">
        <f t="shared" si="4"/>
        <v>-16754.818181818177</v>
      </c>
      <c r="R23">
        <f>'Tennessee counties'!G29+'Tennessee counties'!G51+'Tennessee counties'!G92</f>
        <v>69643</v>
      </c>
      <c r="S23" s="2">
        <f>$S$2</f>
        <v>99749.030303030304</v>
      </c>
      <c r="T23" s="2">
        <f t="shared" si="11"/>
        <v>-30106.030303030304</v>
      </c>
      <c r="U23">
        <f>'Tennessee counties'!H29+'Tennessee counties'!H51+'Tennessee counties'!H92</f>
        <v>62367</v>
      </c>
      <c r="V23" s="2">
        <f t="shared" si="12"/>
        <v>108093.60606060606</v>
      </c>
      <c r="W23" s="2">
        <f t="shared" si="5"/>
        <v>-45726.606060606064</v>
      </c>
    </row>
    <row r="24" spans="1:23" x14ac:dyDescent="0.25">
      <c r="A24">
        <v>23</v>
      </c>
      <c r="B24" t="s">
        <v>139</v>
      </c>
      <c r="C24" s="2">
        <f>'Tennessee counties'!B23+'Tennessee counties'!B44+'Tennessee counties'!B43+'Tennessee counties'!B82</f>
        <v>53733</v>
      </c>
      <c r="D24" s="2">
        <f t="shared" si="6"/>
        <v>61230.78787878788</v>
      </c>
      <c r="E24" s="2">
        <f t="shared" si="0"/>
        <v>-7497.7878787878799</v>
      </c>
      <c r="F24" s="2">
        <f>'Tennessee counties'!C23+'Tennessee counties'!C44+'Tennessee counties'!C43+'Tennessee counties'!C82</f>
        <v>54947</v>
      </c>
      <c r="G24" s="2">
        <f t="shared" si="7"/>
        <v>66205.727272727279</v>
      </c>
      <c r="H24" s="2">
        <f t="shared" si="1"/>
        <v>-11258.727272727279</v>
      </c>
      <c r="I24">
        <f>'Tennessee counties'!D23+'Tennessee counties'!D44+'Tennessee counties'!D43+'Tennessee counties'!D82</f>
        <v>53700</v>
      </c>
      <c r="J24" s="2">
        <f t="shared" si="8"/>
        <v>70845</v>
      </c>
      <c r="K24" s="2">
        <f t="shared" si="2"/>
        <v>-17145</v>
      </c>
      <c r="L24">
        <f>'Tennessee counties'!E23+'Tennessee counties'!E44+'Tennessee counties'!E43+'Tennessee counties'!E82</f>
        <v>49363</v>
      </c>
      <c r="M24" s="2">
        <f t="shared" si="9"/>
        <v>79289.57575757576</v>
      </c>
      <c r="N24" s="2">
        <f t="shared" si="3"/>
        <v>-29926.57575757576</v>
      </c>
      <c r="O24">
        <f>'Tennessee counties'!F23+'Tennessee counties'!F44+'Tennessee counties'!F43+'Tennessee counties'!F82</f>
        <v>52120</v>
      </c>
      <c r="P24" s="2">
        <f t="shared" si="10"/>
        <v>88358.818181818177</v>
      </c>
      <c r="Q24" s="2">
        <f t="shared" si="4"/>
        <v>-36238.818181818177</v>
      </c>
      <c r="R24">
        <f>'Tennessee counties'!G23+'Tennessee counties'!G44+'Tennessee counties'!G43+'Tennessee counties'!G82</f>
        <v>44328</v>
      </c>
      <c r="S24" s="2">
        <f>$S$2</f>
        <v>99749.030303030304</v>
      </c>
      <c r="T24" s="2">
        <f t="shared" si="11"/>
        <v>-55421.030303030304</v>
      </c>
      <c r="U24">
        <f>'Tennessee counties'!H23+'Tennessee counties'!H44+'Tennessee counties'!H43+'Tennessee counties'!H82</f>
        <v>42995</v>
      </c>
      <c r="V24" s="2">
        <f t="shared" si="12"/>
        <v>108093.60606060606</v>
      </c>
      <c r="W24" s="2">
        <f t="shared" si="5"/>
        <v>-65098.606060606064</v>
      </c>
    </row>
    <row r="25" spans="1:23" x14ac:dyDescent="0.25">
      <c r="A25">
        <v>24</v>
      </c>
      <c r="B25" t="s">
        <v>140</v>
      </c>
      <c r="C25" s="2">
        <f>'Tennessee counties'!B41+'Tennessee counties'!B10</f>
        <v>48458</v>
      </c>
      <c r="D25" s="2">
        <f t="shared" si="6"/>
        <v>61230.78787878788</v>
      </c>
      <c r="E25" s="2">
        <f t="shared" si="0"/>
        <v>-12772.78787878788</v>
      </c>
      <c r="F25" s="2">
        <f>'Tennessee counties'!C41+'Tennessee counties'!C10</f>
        <v>49405</v>
      </c>
      <c r="G25" s="2">
        <f t="shared" si="7"/>
        <v>66205.727272727279</v>
      </c>
      <c r="H25" s="2">
        <f t="shared" si="1"/>
        <v>-16800.727272727279</v>
      </c>
      <c r="I25">
        <f>'Tennessee counties'!D41+'Tennessee counties'!D10</f>
        <v>51512</v>
      </c>
      <c r="J25" s="2">
        <f t="shared" si="8"/>
        <v>70845</v>
      </c>
      <c r="K25" s="2">
        <f t="shared" si="2"/>
        <v>-19333</v>
      </c>
      <c r="L25">
        <f>'Tennessee counties'!E41+'Tennessee counties'!E10</f>
        <v>52564</v>
      </c>
      <c r="M25" s="2">
        <f t="shared" si="9"/>
        <v>79289.57575757576</v>
      </c>
      <c r="N25" s="2">
        <f t="shared" si="3"/>
        <v>-26725.57575757576</v>
      </c>
      <c r="O25">
        <f>'Tennessee counties'!F41+'Tennessee counties'!F10</f>
        <v>51855</v>
      </c>
      <c r="P25" s="2">
        <f t="shared" si="10"/>
        <v>88358.818181818177</v>
      </c>
      <c r="Q25" s="2">
        <f t="shared" si="4"/>
        <v>-36503.818181818177</v>
      </c>
      <c r="R25">
        <f>'Tennessee counties'!G41+'Tennessee counties'!G10</f>
        <v>50381</v>
      </c>
      <c r="S25" s="2">
        <f>$S$2</f>
        <v>99749.030303030304</v>
      </c>
      <c r="T25" s="2">
        <f t="shared" si="11"/>
        <v>-49368.030303030304</v>
      </c>
      <c r="U25">
        <f>'Tennessee counties'!H41+'Tennessee counties'!H10</f>
        <v>45751</v>
      </c>
      <c r="V25" s="2">
        <f t="shared" si="12"/>
        <v>108093.60606060606</v>
      </c>
      <c r="W25" s="2">
        <f t="shared" si="5"/>
        <v>-62342.606060606064</v>
      </c>
    </row>
    <row r="26" spans="1:23" x14ac:dyDescent="0.25">
      <c r="A26">
        <v>25</v>
      </c>
      <c r="B26" t="s">
        <v>141</v>
      </c>
      <c r="C26" s="2">
        <f>'Tennessee counties'!B56+'Tennessee counties'!B40+'Tennessee counties'!B13</f>
        <v>45773</v>
      </c>
      <c r="D26" s="2">
        <f t="shared" si="6"/>
        <v>61230.78787878788</v>
      </c>
      <c r="E26" s="2">
        <f t="shared" si="0"/>
        <v>-15457.78787878788</v>
      </c>
      <c r="F26" s="2">
        <f>'Tennessee counties'!C56+'Tennessee counties'!C40+'Tennessee counties'!C13</f>
        <v>42476</v>
      </c>
      <c r="G26" s="2">
        <f t="shared" si="7"/>
        <v>66205.727272727279</v>
      </c>
      <c r="H26" s="2">
        <f t="shared" si="1"/>
        <v>-23729.727272727279</v>
      </c>
      <c r="I26">
        <f>'Tennessee counties'!D56+'Tennessee counties'!D40+'Tennessee counties'!D13</f>
        <v>46455</v>
      </c>
      <c r="J26" s="2">
        <f t="shared" si="8"/>
        <v>70845</v>
      </c>
      <c r="K26" s="2">
        <f t="shared" si="2"/>
        <v>-24390</v>
      </c>
      <c r="L26">
        <f>'Tennessee counties'!E56+'Tennessee counties'!E40+'Tennessee counties'!E13</f>
        <v>48159</v>
      </c>
      <c r="M26" s="2">
        <f t="shared" si="9"/>
        <v>79289.57575757576</v>
      </c>
      <c r="N26" s="2">
        <f t="shared" si="3"/>
        <v>-31130.57575757576</v>
      </c>
      <c r="O26">
        <f>'Tennessee counties'!F56+'Tennessee counties'!F40+'Tennessee counties'!F13</f>
        <v>50768</v>
      </c>
      <c r="P26" s="2">
        <f t="shared" si="10"/>
        <v>88358.818181818177</v>
      </c>
      <c r="Q26" s="2">
        <f t="shared" si="4"/>
        <v>-37590.818181818177</v>
      </c>
      <c r="R26">
        <f>'Tennessee counties'!G56+'Tennessee counties'!G40+'Tennessee counties'!G13</f>
        <v>48712</v>
      </c>
      <c r="S26" s="2">
        <f>$S$2</f>
        <v>99749.030303030304</v>
      </c>
      <c r="T26" s="2">
        <f t="shared" si="11"/>
        <v>-51037.030303030304</v>
      </c>
      <c r="U26">
        <f>'Tennessee counties'!H56+'Tennessee counties'!H40+'Tennessee counties'!H13</f>
        <v>43769</v>
      </c>
      <c r="V26" s="2">
        <f t="shared" si="12"/>
        <v>108093.60606060606</v>
      </c>
      <c r="W26" s="2">
        <f t="shared" si="5"/>
        <v>-64324.606060606064</v>
      </c>
    </row>
    <row r="27" spans="1:23" x14ac:dyDescent="0.25">
      <c r="A27">
        <v>26</v>
      </c>
      <c r="B27" t="s">
        <v>146</v>
      </c>
      <c r="C27" s="2">
        <f>'Tennessee counties'!B36+'Tennessee counties'!B61+'Tennessee counties'!B37+'Tennessee counties'!B21+'Tennessee counties'!B4</f>
        <v>107252</v>
      </c>
      <c r="D27" s="2">
        <f t="shared" si="6"/>
        <v>61230.78787878788</v>
      </c>
      <c r="E27" s="2">
        <f t="shared" si="0"/>
        <v>46021.21212121212</v>
      </c>
      <c r="F27" s="2">
        <f>'Tennessee counties'!C36+'Tennessee counties'!C61+'Tennessee counties'!C37+'Tennessee counties'!C21+'Tennessee counties'!C4</f>
        <v>103533</v>
      </c>
      <c r="G27" s="2">
        <f t="shared" si="7"/>
        <v>66205.727272727279</v>
      </c>
      <c r="H27" s="2">
        <f t="shared" si="1"/>
        <v>37327.272727272721</v>
      </c>
      <c r="I27">
        <f>'Tennessee counties'!D36+'Tennessee counties'!D61+'Tennessee counties'!D37+'Tennessee counties'!D21+'Tennessee counties'!D4</f>
        <v>97216</v>
      </c>
      <c r="J27" s="2">
        <f t="shared" si="8"/>
        <v>70845</v>
      </c>
      <c r="K27" s="2">
        <f t="shared" si="2"/>
        <v>26371</v>
      </c>
      <c r="L27">
        <f>'Tennessee counties'!E36+'Tennessee counties'!E61+'Tennessee counties'!E37+'Tennessee counties'!E21+'Tennessee counties'!E4</f>
        <v>93765</v>
      </c>
      <c r="M27" s="2">
        <f t="shared" si="9"/>
        <v>79289.57575757576</v>
      </c>
      <c r="N27" s="2">
        <f t="shared" si="3"/>
        <v>14475.42424242424</v>
      </c>
      <c r="O27">
        <f>'Tennessee counties'!F36+'Tennessee counties'!F61+'Tennessee counties'!F37+'Tennessee counties'!F21+'Tennessee counties'!F4</f>
        <v>103990</v>
      </c>
      <c r="P27" s="2">
        <f t="shared" si="10"/>
        <v>88358.818181818177</v>
      </c>
      <c r="Q27" s="2">
        <f t="shared" si="4"/>
        <v>15631.181818181823</v>
      </c>
      <c r="R27">
        <f>'Tennessee counties'!G36+'Tennessee counties'!G61+'Tennessee counties'!G37+'Tennessee counties'!G21+'Tennessee counties'!G4</f>
        <v>101524</v>
      </c>
      <c r="S27" s="2">
        <f>$S$2</f>
        <v>99749.030303030304</v>
      </c>
      <c r="T27" s="2">
        <f t="shared" si="11"/>
        <v>1774.9696969696961</v>
      </c>
      <c r="U27">
        <f>'Tennessee counties'!H36+'Tennessee counties'!H61+'Tennessee counties'!H37+'Tennessee counties'!H21+'Tennessee counties'!H4</f>
        <v>99599</v>
      </c>
      <c r="V27" s="2">
        <f t="shared" si="12"/>
        <v>108093.60606060606</v>
      </c>
      <c r="W27" s="2">
        <f t="shared" si="5"/>
        <v>-8494.6060606060637</v>
      </c>
    </row>
    <row r="28" spans="1:23" x14ac:dyDescent="0.25">
      <c r="A28">
        <v>27</v>
      </c>
      <c r="B28" t="s">
        <v>28</v>
      </c>
      <c r="C28" s="2">
        <f>'Tennessee counties'!B28</f>
        <v>39408</v>
      </c>
      <c r="D28" s="2">
        <f t="shared" si="6"/>
        <v>61230.78787878788</v>
      </c>
      <c r="E28" s="2">
        <f t="shared" si="0"/>
        <v>-21822.78787878788</v>
      </c>
      <c r="F28" s="2">
        <f>'Tennessee counties'!C28</f>
        <v>41630</v>
      </c>
      <c r="G28" s="2">
        <f t="shared" si="7"/>
        <v>66205.727272727279</v>
      </c>
      <c r="H28" s="2">
        <f t="shared" si="1"/>
        <v>-24575.727272727279</v>
      </c>
      <c r="I28">
        <f>'Tennessee counties'!D28</f>
        <v>43388</v>
      </c>
      <c r="J28" s="2">
        <f t="shared" si="8"/>
        <v>70845</v>
      </c>
      <c r="K28" s="2">
        <f t="shared" si="2"/>
        <v>-27457</v>
      </c>
      <c r="L28">
        <f>'Tennessee counties'!E28</f>
        <v>46528</v>
      </c>
      <c r="M28" s="2">
        <f t="shared" si="9"/>
        <v>79289.57575757576</v>
      </c>
      <c r="N28" s="2">
        <f t="shared" si="3"/>
        <v>-32761.57575757576</v>
      </c>
      <c r="O28">
        <f>'Tennessee counties'!F28</f>
        <v>44835</v>
      </c>
      <c r="P28" s="2">
        <f t="shared" si="10"/>
        <v>88358.818181818177</v>
      </c>
      <c r="Q28" s="2">
        <f t="shared" si="4"/>
        <v>-43523.818181818177</v>
      </c>
      <c r="R28">
        <f>'Tennessee counties'!G28</f>
        <v>48132</v>
      </c>
      <c r="S28" s="2">
        <f>$S$2</f>
        <v>99749.030303030304</v>
      </c>
      <c r="T28" s="2">
        <f t="shared" si="11"/>
        <v>-51617.030303030304</v>
      </c>
      <c r="U28">
        <f>'Tennessee counties'!H28</f>
        <v>44699</v>
      </c>
      <c r="V28" s="2">
        <f t="shared" si="12"/>
        <v>108093.60606060606</v>
      </c>
      <c r="W28" s="2">
        <f t="shared" si="5"/>
        <v>-63394.606060606064</v>
      </c>
    </row>
    <row r="29" spans="1:23" x14ac:dyDescent="0.25">
      <c r="A29">
        <v>28</v>
      </c>
      <c r="B29" t="s">
        <v>145</v>
      </c>
      <c r="C29" s="2">
        <f>'Tennessee counties'!B49+'Tennessee counties'!B67+'Tennessee counties'!B93</f>
        <v>68200</v>
      </c>
      <c r="D29" s="2">
        <f t="shared" si="6"/>
        <v>61230.78787878788</v>
      </c>
      <c r="E29" s="2">
        <f t="shared" si="0"/>
        <v>6969.2121212121201</v>
      </c>
      <c r="F29" s="2">
        <f>'Tennessee counties'!C49+'Tennessee counties'!C67+'Tennessee counties'!C93</f>
        <v>70579</v>
      </c>
      <c r="G29" s="2">
        <f t="shared" si="7"/>
        <v>66205.727272727279</v>
      </c>
      <c r="H29" s="2">
        <f t="shared" si="1"/>
        <v>4373.2727272727207</v>
      </c>
      <c r="I29">
        <f>'Tennessee counties'!D49+'Tennessee counties'!D67+'Tennessee counties'!D93</f>
        <v>68521</v>
      </c>
      <c r="J29" s="2">
        <f t="shared" si="8"/>
        <v>70845</v>
      </c>
      <c r="K29" s="2">
        <f t="shared" si="2"/>
        <v>-2324</v>
      </c>
      <c r="L29">
        <f>'Tennessee counties'!E49+'Tennessee counties'!E67+'Tennessee counties'!E93</f>
        <v>68834</v>
      </c>
      <c r="M29" s="2">
        <f t="shared" si="9"/>
        <v>79289.57575757576</v>
      </c>
      <c r="N29" s="2">
        <f t="shared" si="3"/>
        <v>-10455.57575757576</v>
      </c>
      <c r="O29">
        <f>'Tennessee counties'!F49+'Tennessee counties'!F67+'Tennessee counties'!F93</f>
        <v>71711</v>
      </c>
      <c r="P29" s="2">
        <f t="shared" si="10"/>
        <v>88358.818181818177</v>
      </c>
      <c r="Q29" s="2">
        <f t="shared" si="4"/>
        <v>-16647.818181818177</v>
      </c>
      <c r="R29">
        <f>'Tennessee counties'!G49+'Tennessee counties'!G67+'Tennessee counties'!G93</f>
        <v>68673</v>
      </c>
      <c r="S29" s="2">
        <f>$S$2</f>
        <v>99749.030303030304</v>
      </c>
      <c r="T29" s="2">
        <f t="shared" si="11"/>
        <v>-31076.030303030304</v>
      </c>
      <c r="U29">
        <f>'Tennessee counties'!H49+'Tennessee counties'!H67+'Tennessee counties'!H93</f>
        <v>60756</v>
      </c>
      <c r="V29" s="2">
        <f t="shared" si="12"/>
        <v>108093.60606060606</v>
      </c>
      <c r="W29" s="2">
        <f t="shared" si="5"/>
        <v>-47337.606060606064</v>
      </c>
    </row>
    <row r="30" spans="1:23" x14ac:dyDescent="0.25">
      <c r="A30">
        <v>29</v>
      </c>
      <c r="B30" t="s">
        <v>144</v>
      </c>
      <c r="C30" s="2">
        <f>'Tennessee counties'!B24+'Tennessee counties'!B18+'Tennessee counties'!B50</f>
        <v>61614</v>
      </c>
      <c r="D30" s="2">
        <f t="shared" si="6"/>
        <v>61230.78787878788</v>
      </c>
      <c r="E30" s="2">
        <f t="shared" si="0"/>
        <v>383.21212121212011</v>
      </c>
      <c r="F30" s="2">
        <f>'Tennessee counties'!C24+'Tennessee counties'!C18+'Tennessee counties'!C50</f>
        <v>64902</v>
      </c>
      <c r="G30" s="2">
        <f t="shared" si="7"/>
        <v>66205.727272727279</v>
      </c>
      <c r="H30" s="2">
        <f t="shared" si="1"/>
        <v>-1303.7272727272793</v>
      </c>
      <c r="I30">
        <f>'Tennessee counties'!D24+'Tennessee counties'!D18+'Tennessee counties'!D50</f>
        <v>68915</v>
      </c>
      <c r="J30" s="2">
        <f t="shared" si="8"/>
        <v>70845</v>
      </c>
      <c r="K30" s="2">
        <f t="shared" si="2"/>
        <v>-1930</v>
      </c>
      <c r="L30">
        <f>'Tennessee counties'!E24+'Tennessee counties'!E18+'Tennessee counties'!E50</f>
        <v>72170</v>
      </c>
      <c r="M30" s="2">
        <f t="shared" si="9"/>
        <v>79289.57575757576</v>
      </c>
      <c r="N30" s="2">
        <f t="shared" si="3"/>
        <v>-7119.5757575757598</v>
      </c>
      <c r="O30">
        <f>'Tennessee counties'!F24+'Tennessee counties'!F18+'Tennessee counties'!F50</f>
        <v>76711</v>
      </c>
      <c r="P30" s="2">
        <f t="shared" si="10"/>
        <v>88358.818181818177</v>
      </c>
      <c r="Q30" s="2">
        <f t="shared" si="4"/>
        <v>-11647.818181818177</v>
      </c>
      <c r="R30">
        <f>'Tennessee counties'!G24+'Tennessee counties'!G18+'Tennessee counties'!G50</f>
        <v>75144</v>
      </c>
      <c r="S30" s="2">
        <f>$S$2</f>
        <v>99749.030303030304</v>
      </c>
      <c r="T30" s="2">
        <f t="shared" si="11"/>
        <v>-24605.030303030304</v>
      </c>
      <c r="U30">
        <f>'Tennessee counties'!H24+'Tennessee counties'!H18+'Tennessee counties'!H50</f>
        <v>65975</v>
      </c>
      <c r="V30" s="2">
        <f t="shared" si="12"/>
        <v>108093.60606060606</v>
      </c>
      <c r="W30" s="2">
        <f t="shared" si="5"/>
        <v>-42118.606060606064</v>
      </c>
    </row>
    <row r="31" spans="1:23" x14ac:dyDescent="0.25">
      <c r="A31">
        <v>30</v>
      </c>
      <c r="B31" t="s">
        <v>143</v>
      </c>
      <c r="C31" s="2">
        <f>'Tennessee counties'!B86+'Tennessee counties'!B80</f>
        <v>159561</v>
      </c>
      <c r="D31" s="2">
        <f t="shared" si="6"/>
        <v>61230.78787878788</v>
      </c>
      <c r="E31" s="2">
        <f t="shared" si="0"/>
        <v>98330.212121212127</v>
      </c>
      <c r="F31" s="2">
        <f>'Tennessee counties'!C86+'Tennessee counties'!C80</f>
        <v>197313</v>
      </c>
      <c r="G31" s="2">
        <f t="shared" si="7"/>
        <v>66205.727272727279</v>
      </c>
      <c r="H31" s="2">
        <f t="shared" si="1"/>
        <v>131107.27272727271</v>
      </c>
      <c r="I31">
        <f>'Tennessee counties'!D86+'Tennessee counties'!D80</f>
        <v>229212</v>
      </c>
      <c r="J31" s="2">
        <f t="shared" si="8"/>
        <v>70845</v>
      </c>
      <c r="K31" s="2">
        <f t="shared" si="2"/>
        <v>158367</v>
      </c>
      <c r="L31">
        <f>'Tennessee counties'!E86+'Tennessee counties'!E80</f>
        <v>312111</v>
      </c>
      <c r="M31" s="2">
        <f t="shared" si="9"/>
        <v>79289.57575757576</v>
      </c>
      <c r="N31" s="2">
        <f t="shared" si="3"/>
        <v>232821.42424242425</v>
      </c>
      <c r="O31">
        <f>'Tennessee counties'!F86+'Tennessee counties'!F80</f>
        <v>364363</v>
      </c>
      <c r="P31" s="2">
        <f t="shared" si="10"/>
        <v>88358.818181818177</v>
      </c>
      <c r="Q31" s="2">
        <f t="shared" si="4"/>
        <v>276004.18181818182</v>
      </c>
      <c r="R31">
        <f>'Tennessee counties'!G86+'Tennessee counties'!G80</f>
        <v>487913</v>
      </c>
      <c r="S31" s="2">
        <f>$S$2</f>
        <v>99749.030303030304</v>
      </c>
      <c r="T31" s="2">
        <f t="shared" si="11"/>
        <v>388163.96969696973</v>
      </c>
      <c r="U31">
        <f>'Tennessee counties'!H86+'Tennessee counties'!H80</f>
        <v>631933</v>
      </c>
      <c r="V31" s="2">
        <f t="shared" si="12"/>
        <v>108093.60606060606</v>
      </c>
      <c r="W31" s="2">
        <f t="shared" si="5"/>
        <v>523839.39393939392</v>
      </c>
    </row>
    <row r="32" spans="1:23" x14ac:dyDescent="0.25">
      <c r="A32">
        <v>31</v>
      </c>
      <c r="B32" t="s">
        <v>142</v>
      </c>
      <c r="C32" s="2">
        <f>'Tennessee counties'!B39+'Tennessee counties'!B25</f>
        <v>54890</v>
      </c>
      <c r="D32" s="2">
        <f t="shared" si="6"/>
        <v>61230.78787878788</v>
      </c>
      <c r="E32" s="2">
        <f t="shared" si="0"/>
        <v>-6340.7878787878799</v>
      </c>
      <c r="F32" s="2">
        <f>'Tennessee counties'!C39+'Tennessee counties'!C25</f>
        <v>56167</v>
      </c>
      <c r="G32" s="2">
        <f t="shared" si="7"/>
        <v>66205.727272727279</v>
      </c>
      <c r="H32" s="2">
        <f t="shared" si="1"/>
        <v>-10038.727272727279</v>
      </c>
      <c r="I32">
        <f>'Tennessee counties'!D39+'Tennessee counties'!D25</f>
        <v>56885</v>
      </c>
      <c r="J32" s="2">
        <f t="shared" si="8"/>
        <v>70845</v>
      </c>
      <c r="K32" s="2">
        <f t="shared" si="2"/>
        <v>-13960</v>
      </c>
      <c r="L32">
        <f>'Tennessee counties'!E39+'Tennessee counties'!E25</f>
        <v>54954</v>
      </c>
      <c r="M32" s="2">
        <f t="shared" si="9"/>
        <v>79289.57575757576</v>
      </c>
      <c r="N32" s="2">
        <f t="shared" si="3"/>
        <v>-24335.57575757576</v>
      </c>
      <c r="O32">
        <f>'Tennessee counties'!F39+'Tennessee counties'!F25</f>
        <v>58021</v>
      </c>
      <c r="P32" s="2">
        <f t="shared" si="10"/>
        <v>88358.818181818177</v>
      </c>
      <c r="Q32" s="2">
        <f t="shared" si="4"/>
        <v>-30337.818181818177</v>
      </c>
      <c r="R32">
        <f>'Tennessee counties'!G39+'Tennessee counties'!G25</f>
        <v>53747</v>
      </c>
      <c r="S32" s="2">
        <f>$S$2</f>
        <v>99749.030303030304</v>
      </c>
      <c r="T32" s="2">
        <f t="shared" si="11"/>
        <v>-46002.030303030304</v>
      </c>
      <c r="U32">
        <f>'Tennessee counties'!H39+'Tennessee counties'!H25</f>
        <v>47970</v>
      </c>
      <c r="V32" s="2">
        <f t="shared" si="12"/>
        <v>108093.60606060606</v>
      </c>
      <c r="W32" s="2">
        <f t="shared" si="5"/>
        <v>-60123.606060606064</v>
      </c>
    </row>
    <row r="33" spans="1:23" x14ac:dyDescent="0.25">
      <c r="A33">
        <v>32</v>
      </c>
      <c r="B33" t="s">
        <v>80</v>
      </c>
      <c r="C33" s="2">
        <f>'Tennessee counties'!B80</f>
        <v>153557</v>
      </c>
      <c r="D33" s="2">
        <f t="shared" si="6"/>
        <v>61230.78787878788</v>
      </c>
      <c r="E33" s="2">
        <f t="shared" si="0"/>
        <v>92326.212121212127</v>
      </c>
      <c r="F33" s="2">
        <f>'Tennessee counties'!C80</f>
        <v>191439</v>
      </c>
      <c r="G33" s="2">
        <f t="shared" si="7"/>
        <v>66205.727272727279</v>
      </c>
      <c r="H33" s="2">
        <f t="shared" si="1"/>
        <v>125233.27272727272</v>
      </c>
      <c r="I33">
        <f>'Tennessee counties'!D80</f>
        <v>223216</v>
      </c>
      <c r="J33" s="2">
        <f t="shared" si="8"/>
        <v>70845</v>
      </c>
      <c r="K33" s="2">
        <f t="shared" si="2"/>
        <v>152371</v>
      </c>
      <c r="L33">
        <f>'Tennessee counties'!E80</f>
        <v>306482</v>
      </c>
      <c r="M33" s="2">
        <f t="shared" si="9"/>
        <v>79289.57575757576</v>
      </c>
      <c r="N33" s="2">
        <f t="shared" si="3"/>
        <v>227192.42424242425</v>
      </c>
      <c r="O33">
        <f>'Tennessee counties'!F80</f>
        <v>358250</v>
      </c>
      <c r="P33" s="2">
        <f t="shared" si="10"/>
        <v>88358.818181818177</v>
      </c>
      <c r="Q33" s="2">
        <f t="shared" si="4"/>
        <v>269891.18181818182</v>
      </c>
      <c r="R33">
        <f>'Tennessee counties'!G80</f>
        <v>482393</v>
      </c>
      <c r="S33" s="2">
        <f>$S$2</f>
        <v>99749.030303030304</v>
      </c>
      <c r="T33" s="2">
        <f t="shared" si="11"/>
        <v>382643.96969696973</v>
      </c>
      <c r="U33">
        <f>'Tennessee counties'!H80</f>
        <v>627019</v>
      </c>
      <c r="V33" s="2">
        <f t="shared" si="12"/>
        <v>108093.60606060606</v>
      </c>
      <c r="W33" s="2">
        <f t="shared" si="5"/>
        <v>518925.39393939392</v>
      </c>
    </row>
    <row r="34" spans="1:23" x14ac:dyDescent="0.25">
      <c r="A34">
        <v>33</v>
      </c>
      <c r="B34" t="s">
        <v>80</v>
      </c>
      <c r="C34" s="2">
        <f>'Tennessee counties'!B80</f>
        <v>153557</v>
      </c>
      <c r="D34" s="2">
        <f t="shared" si="6"/>
        <v>61230.78787878788</v>
      </c>
      <c r="E34" s="2">
        <f t="shared" si="0"/>
        <v>92326.212121212127</v>
      </c>
      <c r="F34" s="2">
        <f>'Tennessee counties'!C80</f>
        <v>191439</v>
      </c>
      <c r="G34" s="2">
        <f t="shared" si="7"/>
        <v>66205.727272727279</v>
      </c>
      <c r="H34" s="2">
        <f t="shared" si="1"/>
        <v>125233.27272727272</v>
      </c>
      <c r="I34">
        <f>'Tennessee counties'!D80</f>
        <v>223216</v>
      </c>
      <c r="J34" s="2">
        <f t="shared" si="8"/>
        <v>70845</v>
      </c>
      <c r="K34" s="2">
        <f t="shared" si="2"/>
        <v>152371</v>
      </c>
      <c r="L34">
        <f>'Tennessee counties'!E80</f>
        <v>306482</v>
      </c>
      <c r="M34" s="2">
        <f t="shared" si="9"/>
        <v>79289.57575757576</v>
      </c>
      <c r="N34" s="2">
        <f t="shared" si="3"/>
        <v>227192.42424242425</v>
      </c>
      <c r="O34">
        <f>'Tennessee counties'!F80</f>
        <v>358250</v>
      </c>
      <c r="P34" s="2">
        <f t="shared" si="10"/>
        <v>88358.818181818177</v>
      </c>
      <c r="Q34" s="2">
        <f t="shared" si="4"/>
        <v>269891.18181818182</v>
      </c>
      <c r="R34">
        <f>'Tennessee counties'!G80</f>
        <v>482393</v>
      </c>
      <c r="S34" s="2">
        <f>$S$2</f>
        <v>99749.030303030304</v>
      </c>
      <c r="T34" s="2">
        <f t="shared" si="11"/>
        <v>382643.96969696973</v>
      </c>
      <c r="U34">
        <f>'Tennessee counties'!H80</f>
        <v>627019</v>
      </c>
      <c r="V34" s="2">
        <f t="shared" si="12"/>
        <v>108093.60606060606</v>
      </c>
      <c r="W34" s="2">
        <f t="shared" si="5"/>
        <v>518925.39393939392</v>
      </c>
    </row>
    <row r="36" spans="1:23" x14ac:dyDescent="0.25">
      <c r="B36" t="s">
        <v>149</v>
      </c>
      <c r="C36">
        <f>(SUM(C2:C34)/SUM(C2:C34))*100</f>
        <v>100</v>
      </c>
      <c r="D36" s="2">
        <f>(SUM(D2:D34)/SUM(D2:D34))*100</f>
        <v>100</v>
      </c>
      <c r="F36">
        <f>(SUM(F2:F34)/SUM(C2:C34))*100</f>
        <v>112.231137360952</v>
      </c>
      <c r="G36" s="2">
        <f>(SUM(G2:G34)/SUM(D2:D34))*100</f>
        <v>108.12489854579003</v>
      </c>
      <c r="I36">
        <f>(SUM(I2:I34)/SUM(C2:C34))*100</f>
        <v>122.91678403976287</v>
      </c>
      <c r="J36" s="2">
        <f>(SUM(J2:J34)/SUM(D2:D34))*100</f>
        <v>115.70159792855253</v>
      </c>
      <c r="L36">
        <f>(SUM(L2:L34)/SUM(C2:C34))*100</f>
        <v>145.90602640425172</v>
      </c>
      <c r="M36" s="2">
        <f>(SUM(M2:M34)/SUM(D2:D34))*100</f>
        <v>129.49298629724797</v>
      </c>
      <c r="O36">
        <f>(SUM(O2:O34)/SUM(C2:C34))*100</f>
        <v>164.63611210226171</v>
      </c>
      <c r="P36" s="2">
        <f>(SUM(P2:P34)/SUM(D2:D34))*100</f>
        <v>144.30455860984975</v>
      </c>
      <c r="R36">
        <f>(SUM(R2:R34)/SUM(C2:C34))*100</f>
        <v>194.1071663317621</v>
      </c>
      <c r="S36" s="2">
        <f>(SUM(S2:S34)/SUM(D2:D34))*100</f>
        <v>162.90665816760833</v>
      </c>
      <c r="U36">
        <f>(SUM(U2:U34)/SUM(C2:C34))*100</f>
        <v>221.15266640375094</v>
      </c>
      <c r="V36" s="2">
        <f>(SUM(V2:V34)/SUM(D2:D34))*100</f>
        <v>176.53473000312772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Tennessee counties</vt:lpstr>
      <vt:lpstr>House districts</vt:lpstr>
      <vt:lpstr>Senate districts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Miller</dc:creator>
  <cp:lastModifiedBy>Peter Miller</cp:lastModifiedBy>
  <dcterms:created xsi:type="dcterms:W3CDTF">2026-09-21T17:37:06Z</dcterms:created>
  <dcterms:modified xsi:type="dcterms:W3CDTF">2026-09-22T19:04:17Z</dcterms:modified>
</cp:coreProperties>
</file>